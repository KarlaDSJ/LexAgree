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ExpChris" sheetId="1" r:id="rId5"/>
    <sheet state="visible" name="Num_arg" sheetId="2" r:id="rId6"/>
    <sheet state="visible" name="Num_lines_agree" sheetId="3" r:id="rId7"/>
    <sheet state="visible" name="Num_arg_unmatch" sheetId="4" r:id="rId8"/>
    <sheet state="visible" name="Agreement_llama" sheetId="5" r:id="rId9"/>
    <sheet state="visible" name="Agreement_saul" sheetId="6" r:id="rId10"/>
    <sheet state="visible" name="Agreement_qwen" sheetId="7" r:id="rId11"/>
  </sheets>
  <definedNames/>
  <calcPr/>
</workbook>
</file>

<file path=xl/sharedStrings.xml><?xml version="1.0" encoding="utf-8"?>
<sst xmlns="http://schemas.openxmlformats.org/spreadsheetml/2006/main" count="467" uniqueCount="102">
  <si>
    <t>n</t>
  </si>
  <si>
    <t>Text</t>
  </si>
  <si>
    <t xml:space="preserve">mean similarity </t>
  </si>
  <si>
    <t xml:space="preserve">mean granular similarity </t>
  </si>
  <si>
    <t>mean matching ratio</t>
  </si>
  <si>
    <t>llama</t>
  </si>
  <si>
    <t>saul</t>
  </si>
  <si>
    <t>qwen</t>
  </si>
  <si>
    <t>00</t>
  </si>
  <si>
    <t>01</t>
  </si>
  <si>
    <t>02</t>
  </si>
  <si>
    <t>03</t>
  </si>
  <si>
    <t>04</t>
  </si>
  <si>
    <t>05</t>
  </si>
  <si>
    <t>06</t>
  </si>
  <si>
    <t>Legend</t>
  </si>
  <si>
    <t>07</t>
  </si>
  <si>
    <t>Decisions in red</t>
  </si>
  <si>
    <t>Judgements in blue</t>
  </si>
  <si>
    <t>08</t>
  </si>
  <si>
    <t>00.txt</t>
  </si>
  <si>
    <t>09</t>
  </si>
  <si>
    <t>01.txt</t>
  </si>
  <si>
    <t>10</t>
  </si>
  <si>
    <t>02.txt</t>
  </si>
  <si>
    <t>11</t>
  </si>
  <si>
    <t>03.txt</t>
  </si>
  <si>
    <t>12</t>
  </si>
  <si>
    <t>04.txt</t>
  </si>
  <si>
    <t>13</t>
  </si>
  <si>
    <t>05.txt</t>
  </si>
  <si>
    <t>14</t>
  </si>
  <si>
    <t>06.txt</t>
  </si>
  <si>
    <t>15</t>
  </si>
  <si>
    <t>29.txt</t>
  </si>
  <si>
    <t>16</t>
  </si>
  <si>
    <t>30.txt</t>
  </si>
  <si>
    <t>17</t>
  </si>
  <si>
    <t>31.txt</t>
  </si>
  <si>
    <t>18</t>
  </si>
  <si>
    <t>32.txt</t>
  </si>
  <si>
    <t>19</t>
  </si>
  <si>
    <t>33.txt</t>
  </si>
  <si>
    <t>20</t>
  </si>
  <si>
    <t>34.txt</t>
  </si>
  <si>
    <t>21</t>
  </si>
  <si>
    <t>35.txt</t>
  </si>
  <si>
    <t>22</t>
  </si>
  <si>
    <t>37.txt</t>
  </si>
  <si>
    <t>23</t>
  </si>
  <si>
    <t>38.txt</t>
  </si>
  <si>
    <t>24</t>
  </si>
  <si>
    <t>39.txt</t>
  </si>
  <si>
    <t>25</t>
  </si>
  <si>
    <t>40.txt</t>
  </si>
  <si>
    <t>26</t>
  </si>
  <si>
    <t>41.txt</t>
  </si>
  <si>
    <t>27</t>
  </si>
  <si>
    <t>42.txt</t>
  </si>
  <si>
    <t>28</t>
  </si>
  <si>
    <t>29</t>
  </si>
  <si>
    <t>30</t>
  </si>
  <si>
    <t>31</t>
  </si>
  <si>
    <t>32</t>
  </si>
  <si>
    <t>33</t>
  </si>
  <si>
    <t>34</t>
  </si>
  <si>
    <t>35</t>
  </si>
  <si>
    <t>37</t>
  </si>
  <si>
    <t>38</t>
  </si>
  <si>
    <t>39</t>
  </si>
  <si>
    <t>40</t>
  </si>
  <si>
    <t>41</t>
  </si>
  <si>
    <t>42</t>
  </si>
  <si>
    <t>Mean</t>
  </si>
  <si>
    <t>Decisions</t>
  </si>
  <si>
    <t>Judgments</t>
  </si>
  <si>
    <t>Short Chris</t>
  </si>
  <si>
    <t>Long Chris</t>
  </si>
  <si>
    <t>‘Decision category’ presents the information briefly (the average word length is 3500 words) in the corpus whereas, in the case of Judgments, more detailed information is available (an average word length of 10000 words).  The Decision case-law documents are divided into six sections: i) Introduc
tion, ii) The Facts, iii) Complaints, iv) Proceedings before the Commission, v) The Laws and vi) For
the Reason. Judgment case-law documents are divided into eight sections: i) Introduction, ii) Procedure,
iii) As the Facts, iv) The Circumstances of the Case, v) Proceedings before the Commission, vi) Final
Submissions to the Court, vii) As to the Law, and viii) For the Reason.</t>
  </si>
  <si>
    <t>texts_processed = ['00', '04', '05', '06', '10', '13', '16', '20', '21']
texts_processed_long = ['01','02','17','19','27','29']</t>
  </si>
  <si>
    <t>20 Decisions and 22 Judgments</t>
  </si>
  <si>
    <t>Original</t>
  </si>
  <si>
    <t>num_args</t>
  </si>
  <si>
    <t>num_window</t>
  </si>
  <si>
    <t>llama_agre</t>
  </si>
  <si>
    <t>saul__agre</t>
  </si>
  <si>
    <t>qwen_agre</t>
  </si>
  <si>
    <t>llama-saul 8.0</t>
  </si>
  <si>
    <t>llama-qwen 8.0</t>
  </si>
  <si>
    <t>saul-llama 8.0</t>
  </si>
  <si>
    <t>saul-qwen 8.0</t>
  </si>
  <si>
    <t>qwen-llama 8.0</t>
  </si>
  <si>
    <t>qwen-saul 8.0</t>
  </si>
  <si>
    <t>min</t>
  </si>
  <si>
    <t>max</t>
  </si>
  <si>
    <t>texts_processed = ['00', '04', '05', '06', '10', '13', '16', '20', '21']</t>
  </si>
  <si>
    <t>texts_processed_long = ['01','02','17','19','27','29']</t>
  </si>
  <si>
    <t>echr</t>
  </si>
  <si>
    <t>mean similarity</t>
  </si>
  <si>
    <t>agreement saul 0.8</t>
  </si>
  <si>
    <t>agreement qwen 0.8</t>
  </si>
  <si>
    <t>agreement llama 0.8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</si>
</sst>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b/>
      <color theme="1"/>
      <name val="Arial"/>
      <scheme val="minor"/>
    </font>
    <font>
      <b/>
      <color theme="1"/>
      <name val="Arial"/>
    </font>
    <font>
      <color rgb="FFF3F3F3"/>
      <name val="Arial"/>
      <scheme val="minor"/>
    </font>
  </fonts>
  <fills count="9">
    <fill>
      <patternFill patternType="none"/>
    </fill>
    <fill>
      <patternFill patternType="lightGray"/>
    </fill>
    <fill>
      <patternFill patternType="solid">
        <fgColor rgb="FFCCCCCC"/>
        <bgColor rgb="FFCCCCCC"/>
      </patternFill>
    </fill>
    <fill>
      <patternFill patternType="solid">
        <fgColor rgb="FFD5A6BD"/>
        <bgColor rgb="FFD5A6BD"/>
      </patternFill>
    </fill>
    <fill>
      <patternFill patternType="solid">
        <fgColor rgb="FFF3F3F3"/>
        <bgColor rgb="FFF3F3F3"/>
      </patternFill>
    </fill>
    <fill>
      <patternFill patternType="solid">
        <fgColor rgb="FF9FC5E8"/>
        <bgColor rgb="FF9FC5E8"/>
      </patternFill>
    </fill>
    <fill>
      <patternFill patternType="solid">
        <fgColor rgb="FFC27BA0"/>
        <bgColor rgb="FFC27BA0"/>
      </patternFill>
    </fill>
    <fill>
      <patternFill patternType="solid">
        <fgColor rgb="FF666666"/>
        <bgColor rgb="FF666666"/>
      </patternFill>
    </fill>
    <fill>
      <patternFill patternType="solid">
        <fgColor rgb="FFEFEFEF"/>
        <bgColor rgb="FFEFEFE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shrinkToFit="0" wrapText="0"/>
    </xf>
    <xf borderId="0" fillId="2" fontId="2" numFmtId="0" xfId="0" applyAlignment="1" applyFont="1">
      <alignment horizontal="center"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3" fontId="2" numFmtId="49" xfId="0" applyAlignment="1" applyFill="1" applyFont="1" applyNumberFormat="1">
      <alignment horizontal="right" vertical="bottom"/>
    </xf>
    <xf borderId="0" fillId="0" fontId="2" numFmtId="0" xfId="0" applyAlignment="1" applyFont="1">
      <alignment horizontal="right" readingOrder="0" vertical="bottom"/>
    </xf>
    <xf borderId="0" fillId="0" fontId="3" numFmtId="0" xfId="0" applyAlignment="1" applyFont="1">
      <alignment readingOrder="0"/>
    </xf>
    <xf borderId="1" fillId="4" fontId="4" numFmtId="0" xfId="0" applyAlignment="1" applyBorder="1" applyFill="1" applyFont="1">
      <alignment horizontal="right" readingOrder="0" vertical="bottom"/>
    </xf>
    <xf borderId="2" fillId="4" fontId="4" numFmtId="0" xfId="0" applyAlignment="1" applyBorder="1" applyFont="1">
      <alignment horizontal="right" readingOrder="0" vertical="bottom"/>
    </xf>
    <xf borderId="2" fillId="4" fontId="2" numFmtId="0" xfId="0" applyAlignment="1" applyBorder="1" applyFont="1">
      <alignment horizontal="right" readingOrder="0" vertical="bottom"/>
    </xf>
    <xf borderId="3" fillId="4" fontId="1" numFmtId="0" xfId="0" applyAlignment="1" applyBorder="1" applyFont="1">
      <alignment readingOrder="0"/>
    </xf>
    <xf borderId="0" fillId="4" fontId="1" numFmtId="0" xfId="0" applyAlignment="1" applyFont="1">
      <alignment readingOrder="0"/>
    </xf>
    <xf borderId="2" fillId="0" fontId="2" numFmtId="0" xfId="0" applyAlignment="1" applyBorder="1" applyFont="1">
      <alignment horizontal="right" vertical="bottom"/>
    </xf>
    <xf borderId="0" fillId="0" fontId="4" numFmtId="0" xfId="0" applyAlignment="1" applyFont="1">
      <alignment horizontal="right" readingOrder="0" vertical="bottom"/>
    </xf>
    <xf borderId="4" fillId="4" fontId="2" numFmtId="0" xfId="0" applyAlignment="1" applyBorder="1" applyFont="1">
      <alignment horizontal="right" readingOrder="0" vertical="bottom"/>
    </xf>
    <xf borderId="0" fillId="4" fontId="2" numFmtId="0" xfId="0" applyAlignment="1" applyFont="1">
      <alignment horizontal="right" readingOrder="0" vertical="bottom"/>
    </xf>
    <xf borderId="0" fillId="4" fontId="4" numFmtId="0" xfId="0" applyAlignment="1" applyFont="1">
      <alignment horizontal="right" readingOrder="0" vertical="bottom"/>
    </xf>
    <xf borderId="5" fillId="4" fontId="1" numFmtId="0" xfId="0" applyAlignment="1" applyBorder="1" applyFont="1">
      <alignment readingOrder="0"/>
    </xf>
    <xf borderId="0" fillId="0" fontId="4" numFmtId="0" xfId="0" applyAlignment="1" applyFont="1">
      <alignment horizontal="right" vertical="bottom"/>
    </xf>
    <xf borderId="4" fillId="4" fontId="4" numFmtId="0" xfId="0" applyAlignment="1" applyBorder="1" applyFont="1">
      <alignment horizontal="right" readingOrder="0" vertical="bottom"/>
    </xf>
    <xf borderId="0" fillId="0" fontId="2" numFmtId="0" xfId="0" applyAlignment="1" applyFont="1">
      <alignment horizontal="right" vertical="bottom"/>
    </xf>
    <xf borderId="0" fillId="3" fontId="2" numFmtId="49" xfId="0" applyAlignment="1" applyFont="1" applyNumberFormat="1">
      <alignment horizontal="right" readingOrder="0" vertical="bottom"/>
    </xf>
    <xf borderId="0" fillId="0" fontId="2" numFmtId="0" xfId="0" applyAlignment="1" applyFont="1">
      <alignment readingOrder="0" vertical="bottom"/>
    </xf>
    <xf borderId="0" fillId="5" fontId="2" numFmtId="49" xfId="0" applyAlignment="1" applyFill="1" applyFont="1" applyNumberFormat="1">
      <alignment horizontal="right" vertical="bottom"/>
    </xf>
    <xf borderId="0" fillId="6" fontId="1" numFmtId="0" xfId="0" applyAlignment="1" applyFill="1" applyFont="1">
      <alignment readingOrder="0"/>
    </xf>
    <xf borderId="0" fillId="5" fontId="1" numFmtId="0" xfId="0" applyAlignment="1" applyFont="1">
      <alignment readingOrder="0"/>
    </xf>
    <xf borderId="0" fillId="0" fontId="2" numFmtId="0" xfId="0" applyAlignment="1" applyFont="1">
      <alignment vertical="bottom"/>
    </xf>
    <xf borderId="5" fillId="4" fontId="3" numFmtId="0" xfId="0" applyAlignment="1" applyBorder="1" applyFont="1">
      <alignment readingOrder="0"/>
    </xf>
    <xf borderId="0" fillId="4" fontId="3" numFmtId="0" xfId="0" applyAlignment="1" applyFont="1">
      <alignment readingOrder="0"/>
    </xf>
    <xf borderId="0" fillId="0" fontId="2" numFmtId="0" xfId="0" applyAlignment="1" applyFont="1">
      <alignment horizontal="right" vertical="bottom"/>
    </xf>
    <xf borderId="0" fillId="4" fontId="2" numFmtId="0" xfId="0" applyAlignment="1" applyFont="1">
      <alignment horizontal="right" vertical="bottom"/>
    </xf>
    <xf borderId="0" fillId="5" fontId="2" numFmtId="49" xfId="0" applyAlignment="1" applyFont="1" applyNumberFormat="1">
      <alignment horizontal="right" readingOrder="0" vertical="bottom"/>
    </xf>
    <xf borderId="0" fillId="4" fontId="1" numFmtId="0" xfId="0" applyFont="1"/>
    <xf borderId="0" fillId="2" fontId="2" numFmtId="49" xfId="0" applyAlignment="1" applyFont="1" applyNumberFormat="1">
      <alignment vertical="bottom"/>
    </xf>
    <xf borderId="0" fillId="2" fontId="4" numFmtId="0" xfId="0" applyAlignment="1" applyFont="1">
      <alignment horizontal="right" vertical="bottom"/>
    </xf>
    <xf borderId="0" fillId="2" fontId="2" numFmtId="0" xfId="0" applyAlignment="1" applyFont="1">
      <alignment horizontal="right" vertical="bottom"/>
    </xf>
    <xf borderId="4" fillId="2" fontId="2" numFmtId="0" xfId="0" applyAlignment="1" applyBorder="1" applyFont="1">
      <alignment horizontal="right" vertical="bottom"/>
    </xf>
    <xf borderId="5" fillId="2" fontId="2" numFmtId="0" xfId="0" applyAlignment="1" applyBorder="1" applyFont="1">
      <alignment horizontal="right" vertical="bottom"/>
    </xf>
    <xf borderId="0" fillId="2" fontId="2" numFmtId="49" xfId="0" applyAlignment="1" applyFont="1" applyNumberFormat="1">
      <alignment readingOrder="0" vertical="bottom"/>
    </xf>
    <xf borderId="4" fillId="2" fontId="4" numFmtId="0" xfId="0" applyAlignment="1" applyBorder="1" applyFont="1">
      <alignment horizontal="right" vertical="bottom"/>
    </xf>
    <xf borderId="6" fillId="2" fontId="2" numFmtId="0" xfId="0" applyAlignment="1" applyBorder="1" applyFont="1">
      <alignment horizontal="right" vertical="bottom"/>
    </xf>
    <xf borderId="7" fillId="2" fontId="4" numFmtId="0" xfId="0" applyAlignment="1" applyBorder="1" applyFont="1">
      <alignment horizontal="right" vertical="bottom"/>
    </xf>
    <xf borderId="8" fillId="2" fontId="2" numFmtId="0" xfId="0" applyAlignment="1" applyBorder="1" applyFont="1">
      <alignment horizontal="right" vertical="bottom"/>
    </xf>
    <xf borderId="0" fillId="0" fontId="2" numFmtId="0" xfId="0" applyAlignment="1" applyFont="1">
      <alignment horizontal="center" shrinkToFit="0" wrapText="0"/>
    </xf>
    <xf borderId="0" fillId="0" fontId="1" numFmtId="0" xfId="0" applyAlignment="1" applyFont="1">
      <alignment readingOrder="0" shrinkToFit="0" wrapText="1"/>
    </xf>
    <xf borderId="0" fillId="0" fontId="1" numFmtId="0" xfId="0" applyAlignment="1" applyFont="1">
      <alignment horizontal="center"/>
    </xf>
    <xf borderId="0" fillId="7" fontId="5" numFmtId="0" xfId="0" applyAlignment="1" applyFill="1" applyFont="1">
      <alignment horizontal="center" readingOrder="0"/>
    </xf>
    <xf borderId="0" fillId="2" fontId="2" numFmtId="0" xfId="0" applyAlignment="1" applyFont="1">
      <alignment horizontal="center" readingOrder="0" vertical="bottom"/>
    </xf>
    <xf borderId="0" fillId="2" fontId="1" numFmtId="0" xfId="0" applyAlignment="1" applyFont="1">
      <alignment readingOrder="0"/>
    </xf>
    <xf borderId="0" fillId="0" fontId="2" numFmtId="49" xfId="0" applyAlignment="1" applyFont="1" applyNumberFormat="1">
      <alignment readingOrder="0" vertical="bottom"/>
    </xf>
    <xf borderId="0" fillId="0" fontId="1" numFmtId="0" xfId="0" applyFont="1"/>
    <xf borderId="0" fillId="0" fontId="2" numFmtId="0" xfId="0" applyAlignment="1" applyFont="1">
      <alignment horizontal="center" readingOrder="0" shrinkToFit="0" wrapText="0"/>
    </xf>
    <xf borderId="0" fillId="4" fontId="2" numFmtId="0" xfId="0" applyAlignment="1" applyFont="1">
      <alignment horizontal="right" vertical="bottom"/>
    </xf>
    <xf borderId="0" fillId="4" fontId="2" numFmtId="0" xfId="0" applyAlignment="1" applyFont="1">
      <alignment vertical="bottom"/>
    </xf>
    <xf borderId="0" fillId="0" fontId="2" numFmtId="0" xfId="0" applyAlignment="1" applyFont="1">
      <alignment vertical="bottom"/>
    </xf>
    <xf borderId="0" fillId="4" fontId="2" numFmtId="0" xfId="0" applyAlignment="1" applyFont="1">
      <alignment vertical="bottom"/>
    </xf>
    <xf borderId="0" fillId="8" fontId="2" numFmtId="0" xfId="0" applyAlignment="1" applyFill="1" applyFont="1">
      <alignment horizontal="center" readingOrder="0" vertical="bottom"/>
    </xf>
    <xf borderId="0" fillId="4" fontId="2" numFmtId="49" xfId="0" applyAlignment="1" applyFont="1" applyNumberFormat="1">
      <alignment horizontal="right" vertical="bottom"/>
    </xf>
    <xf borderId="0" fillId="8" fontId="2" numFmtId="0" xfId="0" applyAlignment="1" applyFont="1">
      <alignment horizontal="right" readingOrder="0" vertical="bottom"/>
    </xf>
    <xf borderId="0" fillId="8" fontId="2" numFmtId="0" xfId="0" applyAlignment="1" applyFont="1">
      <alignment horizontal="right" vertical="bottom"/>
    </xf>
    <xf borderId="0" fillId="8" fontId="4" numFmtId="0" xfId="0" applyAlignment="1" applyFont="1">
      <alignment horizontal="right" readingOrder="0" vertical="bottom"/>
    </xf>
    <xf borderId="0" fillId="4" fontId="2" numFmtId="49" xfId="0" applyAlignment="1" applyFont="1" applyNumberFormat="1">
      <alignment horizontal="right" readingOrder="0" vertical="bottom"/>
    </xf>
    <xf borderId="0" fillId="0" fontId="2" numFmtId="49" xfId="0" applyAlignment="1" applyFont="1" applyNumberFormat="1">
      <alignment horizontal="right" vertical="bottom"/>
    </xf>
    <xf borderId="0" fillId="0" fontId="2" numFmtId="49" xfId="0" applyAlignment="1" applyFont="1" applyNumberFormat="1">
      <alignment horizontal="right" readingOrder="0" vertical="bottom"/>
    </xf>
    <xf borderId="0" fillId="0" fontId="2" numFmtId="49" xfId="0" applyAlignment="1" applyFont="1" applyNumberFormat="1">
      <alignment vertical="bottom"/>
    </xf>
    <xf borderId="0" fillId="0" fontId="4" numFmtId="0" xfId="0" applyAlignment="1" applyFont="1">
      <alignment horizontal="right" vertical="bottom"/>
    </xf>
    <xf borderId="0" fillId="8"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0.13"/>
    <col customWidth="1" min="4" max="5" width="10.0"/>
    <col customWidth="1" min="6" max="7" width="8.75"/>
    <col customWidth="1" min="8" max="9" width="9.25"/>
    <col customWidth="1" min="10" max="11" width="9.13"/>
    <col customWidth="1" min="12" max="13" width="7.63"/>
    <col customWidth="1" min="14" max="15" width="8.75"/>
    <col customWidth="1" min="16" max="17" width="8.5"/>
    <col customWidth="1" min="18" max="19" width="7.0"/>
    <col customWidth="1" min="21" max="21" width="14.25"/>
    <col customWidth="1" min="22" max="22" width="15.63"/>
  </cols>
  <sheetData>
    <row r="1">
      <c r="A1" s="1" t="s">
        <v>0</v>
      </c>
    </row>
    <row r="3">
      <c r="A3" s="2" t="s">
        <v>1</v>
      </c>
      <c r="B3" s="3" t="s">
        <v>2</v>
      </c>
      <c r="G3" s="3"/>
      <c r="H3" s="3" t="s">
        <v>3</v>
      </c>
      <c r="M3" s="3"/>
      <c r="N3" s="3" t="s">
        <v>4</v>
      </c>
      <c r="S3" s="3"/>
    </row>
    <row r="4">
      <c r="A4" s="2"/>
      <c r="B4" s="4" t="s">
        <v>5</v>
      </c>
      <c r="C4" s="4"/>
      <c r="D4" s="5" t="s">
        <v>6</v>
      </c>
      <c r="E4" s="5"/>
      <c r="F4" s="1" t="s">
        <v>7</v>
      </c>
      <c r="G4" s="1"/>
      <c r="H4" s="4" t="s">
        <v>5</v>
      </c>
      <c r="I4" s="4"/>
      <c r="J4" s="4" t="s">
        <v>6</v>
      </c>
      <c r="K4" s="4"/>
      <c r="L4" s="1" t="s">
        <v>7</v>
      </c>
      <c r="M4" s="1"/>
      <c r="N4" s="4" t="s">
        <v>5</v>
      </c>
      <c r="O4" s="4"/>
      <c r="P4" s="4" t="s">
        <v>6</v>
      </c>
      <c r="Q4" s="4"/>
      <c r="R4" s="1" t="s">
        <v>7</v>
      </c>
      <c r="S4" s="1"/>
    </row>
    <row r="5">
      <c r="A5" s="6" t="s">
        <v>8</v>
      </c>
      <c r="B5" s="7">
        <v>82.12</v>
      </c>
      <c r="C5" s="7">
        <v>82.27</v>
      </c>
      <c r="D5" s="7">
        <v>80.33</v>
      </c>
      <c r="E5" s="7">
        <v>80.8</v>
      </c>
      <c r="F5" s="8">
        <v>80.26</v>
      </c>
      <c r="G5" s="8">
        <v>80.69</v>
      </c>
      <c r="H5" s="9">
        <v>100.0</v>
      </c>
      <c r="I5" s="10">
        <v>88.05</v>
      </c>
      <c r="J5" s="11">
        <v>78.76</v>
      </c>
      <c r="K5" s="11">
        <v>79.76</v>
      </c>
      <c r="L5" s="12">
        <v>82.57</v>
      </c>
      <c r="M5" s="13">
        <v>81.6</v>
      </c>
      <c r="N5" s="7">
        <v>100.0</v>
      </c>
      <c r="O5" s="7">
        <v>100.0</v>
      </c>
      <c r="P5" s="7">
        <v>100.0</v>
      </c>
      <c r="Q5" s="14">
        <v>100.0</v>
      </c>
      <c r="R5" s="7">
        <v>100.0</v>
      </c>
      <c r="S5" s="7">
        <v>100.0</v>
      </c>
    </row>
    <row r="6">
      <c r="A6" s="6" t="s">
        <v>9</v>
      </c>
      <c r="B6" s="15">
        <v>79.86</v>
      </c>
      <c r="C6" s="15">
        <v>79.8</v>
      </c>
      <c r="D6" s="7">
        <v>80.29</v>
      </c>
      <c r="E6" s="7">
        <v>80.29</v>
      </c>
      <c r="F6" s="1">
        <v>79.65</v>
      </c>
      <c r="G6" s="1">
        <v>79.75</v>
      </c>
      <c r="H6" s="16">
        <v>84.97</v>
      </c>
      <c r="I6" s="17">
        <v>85.12</v>
      </c>
      <c r="J6" s="18">
        <v>85.06</v>
      </c>
      <c r="K6" s="18">
        <v>83.2</v>
      </c>
      <c r="L6" s="19">
        <v>84.02</v>
      </c>
      <c r="M6" s="13">
        <v>83.22</v>
      </c>
      <c r="N6" s="7">
        <v>100.0</v>
      </c>
      <c r="O6" s="7">
        <v>100.0</v>
      </c>
      <c r="P6" s="7">
        <v>100.0</v>
      </c>
      <c r="Q6" s="20">
        <v>100.0</v>
      </c>
      <c r="R6" s="7">
        <v>100.0</v>
      </c>
      <c r="S6" s="7">
        <v>100.0</v>
      </c>
    </row>
    <row r="7">
      <c r="A7" s="6" t="s">
        <v>10</v>
      </c>
      <c r="B7" s="15">
        <v>83.11</v>
      </c>
      <c r="C7" s="15">
        <v>82.39</v>
      </c>
      <c r="D7" s="7">
        <v>82.22</v>
      </c>
      <c r="E7" s="7">
        <v>82.52</v>
      </c>
      <c r="F7" s="1">
        <v>81.2</v>
      </c>
      <c r="G7" s="1">
        <v>82.14</v>
      </c>
      <c r="H7" s="21">
        <v>86.84</v>
      </c>
      <c r="I7" s="18">
        <v>85.01</v>
      </c>
      <c r="J7" s="17">
        <v>81.92</v>
      </c>
      <c r="K7" s="17">
        <v>77.34</v>
      </c>
      <c r="L7" s="19">
        <v>86.76</v>
      </c>
      <c r="M7" s="13">
        <v>85.8</v>
      </c>
      <c r="N7" s="7">
        <v>100.0</v>
      </c>
      <c r="O7" s="7">
        <v>100.0</v>
      </c>
      <c r="P7" s="7">
        <v>100.0</v>
      </c>
      <c r="Q7" s="22">
        <v>100.0</v>
      </c>
      <c r="R7" s="7">
        <v>100.0</v>
      </c>
      <c r="S7" s="7">
        <v>100.0</v>
      </c>
    </row>
    <row r="8">
      <c r="A8" s="23" t="s">
        <v>11</v>
      </c>
      <c r="B8" s="1">
        <v>80.38</v>
      </c>
      <c r="C8" s="1">
        <v>80.75</v>
      </c>
      <c r="D8" s="7">
        <v>80.65</v>
      </c>
      <c r="E8" s="7">
        <v>80.28</v>
      </c>
      <c r="F8" s="1">
        <v>79.68</v>
      </c>
      <c r="G8" s="1">
        <v>78.98</v>
      </c>
      <c r="H8" s="16">
        <v>83.68</v>
      </c>
      <c r="I8" s="17">
        <v>85.72</v>
      </c>
      <c r="J8" s="17">
        <v>84.86</v>
      </c>
      <c r="K8" s="17">
        <v>83.59</v>
      </c>
      <c r="L8" s="19">
        <v>84.53</v>
      </c>
      <c r="M8" s="13">
        <v>79.8</v>
      </c>
      <c r="N8" s="7">
        <v>100.0</v>
      </c>
      <c r="O8" s="7">
        <v>100.0</v>
      </c>
      <c r="P8" s="7">
        <v>100.0</v>
      </c>
      <c r="Q8" s="24">
        <v>100.0</v>
      </c>
      <c r="R8" s="7">
        <v>100.0</v>
      </c>
      <c r="S8" s="7">
        <v>100.0</v>
      </c>
    </row>
    <row r="9">
      <c r="A9" s="6" t="s">
        <v>12</v>
      </c>
      <c r="B9" s="7">
        <v>82.79</v>
      </c>
      <c r="C9" s="7">
        <v>82.42</v>
      </c>
      <c r="D9" s="7">
        <v>81.17</v>
      </c>
      <c r="E9" s="7">
        <v>80.93</v>
      </c>
      <c r="F9" s="1">
        <v>80.82</v>
      </c>
      <c r="G9" s="1">
        <v>80.77</v>
      </c>
      <c r="H9" s="21">
        <v>87.03</v>
      </c>
      <c r="I9" s="18">
        <v>84.34</v>
      </c>
      <c r="J9" s="17">
        <v>81.92</v>
      </c>
      <c r="K9" s="17">
        <v>81.46</v>
      </c>
      <c r="L9" s="19">
        <v>81.03</v>
      </c>
      <c r="M9" s="13">
        <v>83.26</v>
      </c>
      <c r="N9" s="7">
        <v>100.0</v>
      </c>
      <c r="O9" s="7">
        <v>100.0</v>
      </c>
      <c r="P9" s="7">
        <v>100.0</v>
      </c>
      <c r="Q9" s="22">
        <v>100.0</v>
      </c>
      <c r="R9" s="7">
        <v>100.0</v>
      </c>
      <c r="S9" s="7">
        <v>100.0</v>
      </c>
    </row>
    <row r="10">
      <c r="A10" s="6" t="s">
        <v>13</v>
      </c>
      <c r="B10" s="15">
        <v>81.52</v>
      </c>
      <c r="C10" s="15">
        <v>81.91</v>
      </c>
      <c r="D10" s="7">
        <v>81.07</v>
      </c>
      <c r="E10" s="7">
        <v>79.88</v>
      </c>
      <c r="F10" s="1">
        <v>81.82</v>
      </c>
      <c r="G10" s="1">
        <v>82.42</v>
      </c>
      <c r="H10" s="21">
        <v>84.61</v>
      </c>
      <c r="I10" s="18">
        <v>82.67</v>
      </c>
      <c r="J10" s="17">
        <v>69.88</v>
      </c>
      <c r="K10" s="17">
        <v>76.94</v>
      </c>
      <c r="L10" s="19">
        <v>80.04</v>
      </c>
      <c r="M10" s="13">
        <v>79.6</v>
      </c>
      <c r="N10" s="7">
        <v>100.0</v>
      </c>
      <c r="O10" s="7">
        <v>100.0</v>
      </c>
      <c r="P10" s="7">
        <v>80.0</v>
      </c>
      <c r="Q10" s="22">
        <v>40.0</v>
      </c>
      <c r="R10" s="7">
        <v>100.0</v>
      </c>
      <c r="S10" s="7">
        <v>100.0</v>
      </c>
    </row>
    <row r="11">
      <c r="A11" s="6" t="s">
        <v>14</v>
      </c>
      <c r="B11" s="15">
        <v>82.89</v>
      </c>
      <c r="C11" s="15">
        <v>83.4</v>
      </c>
      <c r="D11" s="7">
        <v>83.49</v>
      </c>
      <c r="E11" s="7">
        <v>83.65</v>
      </c>
      <c r="F11" s="1">
        <v>81.71</v>
      </c>
      <c r="G11" s="1">
        <v>81.83</v>
      </c>
      <c r="H11" s="21">
        <v>88.63</v>
      </c>
      <c r="I11" s="18">
        <v>86.19</v>
      </c>
      <c r="J11" s="17">
        <v>73.12</v>
      </c>
      <c r="K11" s="17">
        <v>80.98</v>
      </c>
      <c r="L11" s="19">
        <v>86.15</v>
      </c>
      <c r="M11" s="13">
        <v>88.01</v>
      </c>
      <c r="N11" s="7">
        <v>100.0</v>
      </c>
      <c r="O11" s="7">
        <v>100.0</v>
      </c>
      <c r="P11" s="7">
        <v>100.0</v>
      </c>
      <c r="Q11" s="22">
        <v>100.0</v>
      </c>
      <c r="R11" s="7">
        <v>100.0</v>
      </c>
      <c r="S11" s="7">
        <v>100.0</v>
      </c>
      <c r="U11" s="1" t="s">
        <v>15</v>
      </c>
    </row>
    <row r="12">
      <c r="A12" s="25" t="s">
        <v>16</v>
      </c>
      <c r="B12" s="1">
        <v>79.38</v>
      </c>
      <c r="C12" s="1">
        <v>79.42</v>
      </c>
      <c r="D12" s="7">
        <v>79.49</v>
      </c>
      <c r="E12" s="7">
        <v>79.35</v>
      </c>
      <c r="F12" s="1">
        <v>79.75</v>
      </c>
      <c r="G12" s="1">
        <v>80.01</v>
      </c>
      <c r="H12" s="16">
        <v>78.91</v>
      </c>
      <c r="I12" s="17">
        <v>77.26</v>
      </c>
      <c r="J12" s="17">
        <v>77.94</v>
      </c>
      <c r="K12" s="17">
        <v>76.14</v>
      </c>
      <c r="L12" s="19">
        <v>78.89</v>
      </c>
      <c r="M12" s="13">
        <v>78.35</v>
      </c>
      <c r="N12" s="7">
        <v>100.0</v>
      </c>
      <c r="O12" s="7">
        <v>100.0</v>
      </c>
      <c r="P12" s="7">
        <v>100.0</v>
      </c>
      <c r="Q12" s="22">
        <v>100.0</v>
      </c>
      <c r="R12" s="7">
        <v>100.0</v>
      </c>
      <c r="S12" s="7">
        <v>100.0</v>
      </c>
      <c r="U12" s="26" t="s">
        <v>17</v>
      </c>
      <c r="V12" s="27" t="s">
        <v>18</v>
      </c>
    </row>
    <row r="13">
      <c r="A13" s="25" t="s">
        <v>19</v>
      </c>
      <c r="B13" s="15">
        <v>79.34</v>
      </c>
      <c r="C13" s="15">
        <v>79.67</v>
      </c>
      <c r="D13" s="7">
        <v>80.01</v>
      </c>
      <c r="E13" s="7">
        <v>79.85</v>
      </c>
      <c r="F13" s="1">
        <v>80.0</v>
      </c>
      <c r="G13" s="1">
        <v>80.04</v>
      </c>
      <c r="H13" s="16">
        <v>77.59</v>
      </c>
      <c r="I13" s="17">
        <v>76.21</v>
      </c>
      <c r="J13" s="17">
        <v>74.72</v>
      </c>
      <c r="K13" s="17">
        <v>73.31</v>
      </c>
      <c r="L13" s="19">
        <v>78.06</v>
      </c>
      <c r="M13" s="13">
        <v>76.1</v>
      </c>
      <c r="N13" s="7">
        <v>100.0</v>
      </c>
      <c r="O13" s="7">
        <v>100.0</v>
      </c>
      <c r="P13" s="7">
        <v>100.0</v>
      </c>
      <c r="Q13" s="22">
        <v>100.0</v>
      </c>
      <c r="R13" s="7">
        <v>100.0</v>
      </c>
      <c r="S13" s="7">
        <v>100.0</v>
      </c>
      <c r="U13" s="28" t="s">
        <v>20</v>
      </c>
    </row>
    <row r="14">
      <c r="A14" s="25" t="s">
        <v>21</v>
      </c>
      <c r="B14" s="15">
        <v>78.9</v>
      </c>
      <c r="C14" s="15">
        <v>78.96</v>
      </c>
      <c r="D14" s="7">
        <v>78.69</v>
      </c>
      <c r="E14" s="7">
        <v>78.78</v>
      </c>
      <c r="F14" s="1">
        <v>78.82</v>
      </c>
      <c r="G14" s="1">
        <v>78.99</v>
      </c>
      <c r="H14" s="16">
        <v>69.6</v>
      </c>
      <c r="I14" s="17">
        <v>68.26</v>
      </c>
      <c r="J14" s="17">
        <v>64.52</v>
      </c>
      <c r="K14" s="17">
        <v>64.05</v>
      </c>
      <c r="L14" s="19">
        <v>69.21</v>
      </c>
      <c r="M14" s="13">
        <v>65.2</v>
      </c>
      <c r="N14" s="7">
        <v>100.0</v>
      </c>
      <c r="O14" s="7">
        <v>100.0</v>
      </c>
      <c r="P14" s="7">
        <v>100.0</v>
      </c>
      <c r="Q14" s="22">
        <v>100.0</v>
      </c>
      <c r="R14" s="7">
        <v>100.0</v>
      </c>
      <c r="S14" s="7">
        <v>100.0</v>
      </c>
      <c r="U14" s="28" t="s">
        <v>22</v>
      </c>
    </row>
    <row r="15">
      <c r="A15" s="25" t="s">
        <v>23</v>
      </c>
      <c r="B15" s="15">
        <v>82.74</v>
      </c>
      <c r="C15" s="15">
        <v>82.95</v>
      </c>
      <c r="D15" s="7">
        <v>82.4</v>
      </c>
      <c r="E15" s="7">
        <v>83.06</v>
      </c>
      <c r="F15" s="8">
        <v>81.58</v>
      </c>
      <c r="G15" s="8">
        <v>82.69</v>
      </c>
      <c r="H15" s="16">
        <v>86.49</v>
      </c>
      <c r="I15" s="17">
        <v>86.51</v>
      </c>
      <c r="J15" s="17">
        <v>79.84</v>
      </c>
      <c r="K15" s="17">
        <v>82.78</v>
      </c>
      <c r="L15" s="29">
        <v>87.68</v>
      </c>
      <c r="M15" s="30">
        <v>85.33</v>
      </c>
      <c r="N15" s="7">
        <v>100.0</v>
      </c>
      <c r="O15" s="7">
        <v>100.0</v>
      </c>
      <c r="P15" s="7">
        <v>100.0</v>
      </c>
      <c r="Q15" s="22">
        <v>100.0</v>
      </c>
      <c r="R15" s="7">
        <v>100.0</v>
      </c>
      <c r="S15" s="7">
        <v>100.0</v>
      </c>
      <c r="U15" s="28" t="s">
        <v>24</v>
      </c>
    </row>
    <row r="16">
      <c r="A16" s="25" t="s">
        <v>25</v>
      </c>
      <c r="B16" s="7">
        <v>80.29</v>
      </c>
      <c r="C16" s="7">
        <v>80.64</v>
      </c>
      <c r="D16" s="7">
        <v>81.19</v>
      </c>
      <c r="E16" s="31"/>
      <c r="F16" s="8">
        <v>80.28</v>
      </c>
      <c r="G16" s="8">
        <v>80.59</v>
      </c>
      <c r="H16" s="16">
        <v>75.35</v>
      </c>
      <c r="I16" s="17">
        <v>74.78</v>
      </c>
      <c r="J16" s="17">
        <v>74.47</v>
      </c>
      <c r="K16" s="32"/>
      <c r="L16" s="19">
        <v>75.13</v>
      </c>
      <c r="M16" s="13">
        <v>74.13</v>
      </c>
      <c r="N16" s="7">
        <v>100.0</v>
      </c>
      <c r="O16" s="7">
        <v>100.0</v>
      </c>
      <c r="P16" s="7">
        <v>100.0</v>
      </c>
      <c r="Q16" s="22">
        <v>100.0</v>
      </c>
      <c r="R16" s="7"/>
      <c r="S16" s="7">
        <v>100.0</v>
      </c>
      <c r="U16" s="28" t="s">
        <v>26</v>
      </c>
    </row>
    <row r="17">
      <c r="A17" s="25" t="s">
        <v>27</v>
      </c>
      <c r="B17" s="7">
        <v>80.57</v>
      </c>
      <c r="C17" s="7">
        <v>80.84</v>
      </c>
      <c r="D17" s="7">
        <v>81.35</v>
      </c>
      <c r="E17" s="7">
        <v>82.25</v>
      </c>
      <c r="F17" s="8">
        <v>81.2</v>
      </c>
      <c r="G17" s="8">
        <v>81.34</v>
      </c>
      <c r="H17" s="16">
        <v>82.62</v>
      </c>
      <c r="I17" s="17">
        <v>79.86</v>
      </c>
      <c r="J17" s="17">
        <v>81.22</v>
      </c>
      <c r="K17" s="17">
        <v>80.5</v>
      </c>
      <c r="L17" s="19">
        <v>82.86</v>
      </c>
      <c r="M17" s="13">
        <v>81.83</v>
      </c>
      <c r="N17" s="7">
        <v>100.0</v>
      </c>
      <c r="O17" s="7">
        <v>100.0</v>
      </c>
      <c r="P17" s="7">
        <v>100.0</v>
      </c>
      <c r="Q17" s="22">
        <v>100.0</v>
      </c>
      <c r="R17" s="7">
        <v>100.0</v>
      </c>
      <c r="S17" s="7">
        <v>100.0</v>
      </c>
      <c r="U17" s="28" t="s">
        <v>28</v>
      </c>
    </row>
    <row r="18">
      <c r="A18" s="25" t="s">
        <v>29</v>
      </c>
      <c r="B18" s="7">
        <v>80.92</v>
      </c>
      <c r="C18" s="7">
        <v>82.58</v>
      </c>
      <c r="D18" s="7">
        <v>84.34</v>
      </c>
      <c r="E18" s="7">
        <v>82.28</v>
      </c>
      <c r="F18" s="8">
        <v>79.78</v>
      </c>
      <c r="G18" s="8">
        <v>79.86</v>
      </c>
      <c r="H18" s="21">
        <v>83.4</v>
      </c>
      <c r="I18" s="18">
        <v>80.47</v>
      </c>
      <c r="J18" s="17">
        <v>56.7</v>
      </c>
      <c r="K18" s="17">
        <v>79.09</v>
      </c>
      <c r="L18" s="19">
        <v>82.6</v>
      </c>
      <c r="M18" s="13">
        <v>83.33</v>
      </c>
      <c r="N18" s="7">
        <v>100.0</v>
      </c>
      <c r="O18" s="7">
        <v>100.0</v>
      </c>
      <c r="P18" s="7">
        <v>100.0</v>
      </c>
      <c r="Q18" s="22">
        <v>60.0</v>
      </c>
      <c r="R18" s="7">
        <v>100.0</v>
      </c>
      <c r="S18" s="7">
        <v>100.0</v>
      </c>
      <c r="U18" s="28" t="s">
        <v>30</v>
      </c>
    </row>
    <row r="19">
      <c r="A19" s="33" t="s">
        <v>31</v>
      </c>
      <c r="B19" s="7">
        <v>79.88</v>
      </c>
      <c r="C19" s="7">
        <v>80.53</v>
      </c>
      <c r="D19" s="7">
        <v>81.55</v>
      </c>
      <c r="E19" s="7">
        <v>81.34</v>
      </c>
      <c r="F19" s="8">
        <v>81.12</v>
      </c>
      <c r="G19" s="8">
        <v>81.58</v>
      </c>
      <c r="H19" s="16">
        <v>77.09</v>
      </c>
      <c r="I19" s="17">
        <v>76.54</v>
      </c>
      <c r="J19" s="17">
        <v>75.61</v>
      </c>
      <c r="K19" s="17">
        <v>73.3</v>
      </c>
      <c r="L19" s="19">
        <v>78.01</v>
      </c>
      <c r="M19" s="13">
        <v>76.03</v>
      </c>
      <c r="N19" s="7">
        <v>100.0</v>
      </c>
      <c r="O19" s="7">
        <v>100.0</v>
      </c>
      <c r="P19" s="7">
        <v>100.0</v>
      </c>
      <c r="Q19" s="24">
        <v>100.0</v>
      </c>
      <c r="R19" s="7">
        <v>100.0</v>
      </c>
      <c r="S19" s="7">
        <v>100.0</v>
      </c>
      <c r="U19" s="28" t="s">
        <v>32</v>
      </c>
    </row>
    <row r="20">
      <c r="A20" s="33" t="s">
        <v>33</v>
      </c>
      <c r="B20" s="7">
        <v>80.2</v>
      </c>
      <c r="C20" s="7">
        <v>80.73</v>
      </c>
      <c r="D20" s="7">
        <v>80.83</v>
      </c>
      <c r="E20" s="7">
        <v>81.3</v>
      </c>
      <c r="F20" s="8">
        <v>80.6</v>
      </c>
      <c r="G20" s="8">
        <v>81.03</v>
      </c>
      <c r="H20" s="16">
        <v>78.39</v>
      </c>
      <c r="I20" s="17">
        <v>77.01</v>
      </c>
      <c r="J20" s="17">
        <v>75.71</v>
      </c>
      <c r="K20" s="17">
        <v>74.34</v>
      </c>
      <c r="L20" s="19">
        <v>79.74</v>
      </c>
      <c r="M20" s="13">
        <v>75.77</v>
      </c>
      <c r="N20" s="7">
        <v>100.0</v>
      </c>
      <c r="O20" s="7">
        <v>100.0</v>
      </c>
      <c r="P20" s="7">
        <v>100.0</v>
      </c>
      <c r="Q20" s="24">
        <v>100.0</v>
      </c>
      <c r="R20" s="7">
        <v>100.0</v>
      </c>
      <c r="S20" s="7">
        <v>100.0</v>
      </c>
      <c r="U20" s="28" t="s">
        <v>34</v>
      </c>
    </row>
    <row r="21">
      <c r="A21" s="25" t="s">
        <v>35</v>
      </c>
      <c r="B21" s="15">
        <v>83.2</v>
      </c>
      <c r="C21" s="15">
        <v>84.92</v>
      </c>
      <c r="D21" s="7">
        <v>84.19</v>
      </c>
      <c r="E21" s="7">
        <v>84.39</v>
      </c>
      <c r="F21" s="1">
        <v>81.77</v>
      </c>
      <c r="G21" s="1">
        <v>82.4</v>
      </c>
      <c r="H21" s="16">
        <v>86.95</v>
      </c>
      <c r="I21" s="17">
        <v>87.05</v>
      </c>
      <c r="J21" s="17">
        <v>80.59</v>
      </c>
      <c r="K21" s="17">
        <v>85.89</v>
      </c>
      <c r="L21" s="29">
        <v>88.2</v>
      </c>
      <c r="M21" s="30">
        <v>87.5</v>
      </c>
      <c r="N21" s="7">
        <v>100.0</v>
      </c>
      <c r="O21" s="7">
        <v>100.0</v>
      </c>
      <c r="P21" s="7">
        <v>100.0</v>
      </c>
      <c r="Q21" s="24">
        <v>100.0</v>
      </c>
      <c r="R21" s="7">
        <v>100.0</v>
      </c>
      <c r="S21" s="7">
        <v>100.0</v>
      </c>
      <c r="U21" s="28" t="s">
        <v>36</v>
      </c>
    </row>
    <row r="22">
      <c r="A22" s="25" t="s">
        <v>37</v>
      </c>
      <c r="B22" s="7">
        <v>79.63</v>
      </c>
      <c r="C22" s="7">
        <v>80.22</v>
      </c>
      <c r="D22" s="7">
        <v>80.21</v>
      </c>
      <c r="E22" s="7">
        <v>80.32</v>
      </c>
      <c r="F22" s="8">
        <v>79.86</v>
      </c>
      <c r="G22" s="8">
        <v>80.36</v>
      </c>
      <c r="H22" s="21">
        <v>76.37</v>
      </c>
      <c r="I22" s="18">
        <v>75.34</v>
      </c>
      <c r="J22" s="17">
        <v>74.01</v>
      </c>
      <c r="K22" s="17">
        <v>71.66</v>
      </c>
      <c r="L22" s="19">
        <v>72.36</v>
      </c>
      <c r="M22" s="13">
        <v>72.14</v>
      </c>
      <c r="N22" s="7">
        <v>100.0</v>
      </c>
      <c r="O22" s="7">
        <v>100.0</v>
      </c>
      <c r="P22" s="7">
        <v>100.0</v>
      </c>
      <c r="Q22" s="24">
        <v>100.0</v>
      </c>
      <c r="R22" s="7">
        <v>100.0</v>
      </c>
      <c r="S22" s="7">
        <v>100.0</v>
      </c>
      <c r="U22" s="28" t="s">
        <v>38</v>
      </c>
    </row>
    <row r="23">
      <c r="A23" s="33" t="s">
        <v>39</v>
      </c>
      <c r="B23" s="7">
        <v>79.71</v>
      </c>
      <c r="C23" s="7">
        <v>79.85</v>
      </c>
      <c r="D23" s="7">
        <v>80.56</v>
      </c>
      <c r="E23" s="7">
        <v>80.56</v>
      </c>
      <c r="F23" s="8">
        <v>79.75</v>
      </c>
      <c r="G23" s="8">
        <v>79.84</v>
      </c>
      <c r="H23" s="16">
        <v>79.12</v>
      </c>
      <c r="I23" s="17">
        <v>76.98</v>
      </c>
      <c r="J23" s="17">
        <v>76.21</v>
      </c>
      <c r="K23" s="17">
        <v>75.2</v>
      </c>
      <c r="L23" s="19">
        <v>77.43</v>
      </c>
      <c r="M23" s="13">
        <v>75.52</v>
      </c>
      <c r="N23" s="7">
        <v>100.0</v>
      </c>
      <c r="O23" s="7">
        <v>100.0</v>
      </c>
      <c r="P23" s="7">
        <v>100.0</v>
      </c>
      <c r="Q23" s="24">
        <v>100.0</v>
      </c>
      <c r="R23" s="7">
        <v>100.0</v>
      </c>
      <c r="S23" s="7">
        <v>100.0</v>
      </c>
      <c r="U23" s="28" t="s">
        <v>40</v>
      </c>
    </row>
    <row r="24">
      <c r="A24" s="25" t="s">
        <v>41</v>
      </c>
      <c r="B24" s="7">
        <v>81.74</v>
      </c>
      <c r="C24" s="7">
        <v>82.05</v>
      </c>
      <c r="D24" s="7">
        <v>81.38</v>
      </c>
      <c r="E24" s="7">
        <v>81.42</v>
      </c>
      <c r="F24" s="8">
        <v>81.37</v>
      </c>
      <c r="G24" s="8">
        <v>81.94</v>
      </c>
      <c r="H24" s="16">
        <v>87.81</v>
      </c>
      <c r="I24" s="17">
        <v>87.17</v>
      </c>
      <c r="J24" s="17">
        <v>86.84</v>
      </c>
      <c r="K24" s="17">
        <v>85.61</v>
      </c>
      <c r="L24" s="29">
        <v>88.2</v>
      </c>
      <c r="M24" s="30">
        <v>88.49</v>
      </c>
      <c r="N24" s="7">
        <v>100.0</v>
      </c>
      <c r="O24" s="7">
        <v>100.0</v>
      </c>
      <c r="P24" s="7">
        <v>100.0</v>
      </c>
      <c r="Q24" s="22">
        <v>100.0</v>
      </c>
      <c r="R24" s="7">
        <v>100.0</v>
      </c>
      <c r="S24" s="7">
        <v>100.0</v>
      </c>
      <c r="U24" s="28" t="s">
        <v>42</v>
      </c>
    </row>
    <row r="25">
      <c r="A25" s="25" t="s">
        <v>43</v>
      </c>
      <c r="B25" s="15">
        <v>82.55</v>
      </c>
      <c r="C25" s="15">
        <v>82.37</v>
      </c>
      <c r="D25" s="7">
        <v>82.94</v>
      </c>
      <c r="E25" s="7">
        <v>82.13</v>
      </c>
      <c r="F25" s="1">
        <v>80.9</v>
      </c>
      <c r="G25" s="1">
        <v>81.56</v>
      </c>
      <c r="H25" s="21">
        <v>85.76</v>
      </c>
      <c r="I25" s="18">
        <v>84.59</v>
      </c>
      <c r="J25" s="17">
        <v>79.9</v>
      </c>
      <c r="K25" s="17">
        <v>80.08</v>
      </c>
      <c r="L25" s="19">
        <v>82.2</v>
      </c>
      <c r="M25" s="13">
        <v>84.48</v>
      </c>
      <c r="N25" s="7">
        <v>100.0</v>
      </c>
      <c r="O25" s="7">
        <v>100.0</v>
      </c>
      <c r="P25" s="7">
        <v>100.0</v>
      </c>
      <c r="Q25" s="22">
        <v>100.0</v>
      </c>
      <c r="R25" s="7">
        <v>100.0</v>
      </c>
      <c r="S25" s="7">
        <v>100.0</v>
      </c>
      <c r="U25" s="28" t="s">
        <v>44</v>
      </c>
    </row>
    <row r="26">
      <c r="A26" s="25" t="s">
        <v>45</v>
      </c>
      <c r="B26" s="7">
        <v>82.03</v>
      </c>
      <c r="C26" s="7">
        <v>82.73</v>
      </c>
      <c r="D26" s="7">
        <v>82.73</v>
      </c>
      <c r="E26" s="7">
        <v>82.74</v>
      </c>
      <c r="F26" s="8">
        <v>81.27</v>
      </c>
      <c r="G26" s="8">
        <v>81.98</v>
      </c>
      <c r="H26" s="21">
        <v>85.68</v>
      </c>
      <c r="I26" s="18">
        <v>87.94</v>
      </c>
      <c r="J26" s="17">
        <v>59.72</v>
      </c>
      <c r="K26" s="17">
        <v>82.2</v>
      </c>
      <c r="L26" s="19">
        <v>82.94</v>
      </c>
      <c r="M26" s="13">
        <v>86.13</v>
      </c>
      <c r="N26" s="7">
        <v>100.0</v>
      </c>
      <c r="O26" s="7">
        <v>100.0</v>
      </c>
      <c r="P26" s="7">
        <v>100.0</v>
      </c>
      <c r="Q26" s="22">
        <v>100.0</v>
      </c>
      <c r="R26" s="7">
        <v>100.0</v>
      </c>
      <c r="S26" s="7">
        <v>100.0</v>
      </c>
      <c r="U26" s="28" t="s">
        <v>46</v>
      </c>
    </row>
    <row r="27">
      <c r="A27" s="25" t="s">
        <v>47</v>
      </c>
      <c r="B27" s="7">
        <v>79.64</v>
      </c>
      <c r="C27" s="7">
        <v>80.13</v>
      </c>
      <c r="D27" s="7">
        <v>80.76</v>
      </c>
      <c r="E27" s="31"/>
      <c r="F27" s="1">
        <v>80.34</v>
      </c>
      <c r="H27" s="16">
        <v>87.31</v>
      </c>
      <c r="I27" s="17">
        <v>86.01</v>
      </c>
      <c r="J27" s="17">
        <v>84.53</v>
      </c>
      <c r="K27" s="17">
        <v>83.78</v>
      </c>
      <c r="L27" s="19">
        <v>81.39</v>
      </c>
      <c r="M27" s="13"/>
      <c r="N27" s="7">
        <v>100.0</v>
      </c>
      <c r="O27" s="7">
        <v>100.0</v>
      </c>
      <c r="P27" s="7">
        <v>100.0</v>
      </c>
      <c r="Q27" s="22">
        <v>100.0</v>
      </c>
      <c r="R27" s="7">
        <v>100.0</v>
      </c>
      <c r="S27" s="7">
        <v>100.0</v>
      </c>
      <c r="U27" s="28" t="s">
        <v>48</v>
      </c>
    </row>
    <row r="28">
      <c r="A28" s="25" t="s">
        <v>49</v>
      </c>
      <c r="B28" s="7">
        <v>80.74</v>
      </c>
      <c r="C28" s="7">
        <v>81.03</v>
      </c>
      <c r="D28" s="7">
        <v>82.14</v>
      </c>
      <c r="E28" s="7">
        <v>82.72</v>
      </c>
      <c r="F28" s="1">
        <v>81.07</v>
      </c>
      <c r="G28" s="1">
        <v>81.25</v>
      </c>
      <c r="H28" s="16">
        <v>82.69</v>
      </c>
      <c r="I28" s="17">
        <v>81.1</v>
      </c>
      <c r="J28" s="17">
        <v>79.8</v>
      </c>
      <c r="K28" s="17">
        <v>77.67</v>
      </c>
      <c r="L28" s="19">
        <v>81.16</v>
      </c>
      <c r="M28" s="13">
        <v>80.92</v>
      </c>
      <c r="N28" s="7">
        <v>100.0</v>
      </c>
      <c r="O28" s="7">
        <v>100.0</v>
      </c>
      <c r="P28" s="7">
        <v>100.0</v>
      </c>
      <c r="Q28" s="22">
        <v>100.0</v>
      </c>
      <c r="R28" s="7">
        <v>100.0</v>
      </c>
      <c r="S28" s="7">
        <v>100.0</v>
      </c>
      <c r="U28" s="28" t="s">
        <v>50</v>
      </c>
    </row>
    <row r="29">
      <c r="A29" s="25" t="s">
        <v>51</v>
      </c>
      <c r="B29" s="7">
        <v>80.69</v>
      </c>
      <c r="C29" s="7">
        <v>81.39</v>
      </c>
      <c r="D29" s="7">
        <v>82.27</v>
      </c>
      <c r="E29" s="7">
        <v>81.83</v>
      </c>
      <c r="F29" s="1">
        <v>82.0</v>
      </c>
      <c r="G29" s="1">
        <v>82.61</v>
      </c>
      <c r="H29" s="16">
        <v>89.16</v>
      </c>
      <c r="I29" s="17">
        <v>87.25</v>
      </c>
      <c r="J29" s="17">
        <v>87.23</v>
      </c>
      <c r="K29" s="17">
        <v>83.62</v>
      </c>
      <c r="L29" s="19">
        <v>91.2</v>
      </c>
      <c r="M29" s="13">
        <v>87.41</v>
      </c>
      <c r="N29" s="7">
        <v>100.0</v>
      </c>
      <c r="O29" s="7">
        <v>100.0</v>
      </c>
      <c r="P29" s="7">
        <v>100.0</v>
      </c>
      <c r="Q29" s="22">
        <v>100.0</v>
      </c>
      <c r="R29" s="7">
        <v>100.0</v>
      </c>
      <c r="S29" s="7">
        <v>100.0</v>
      </c>
      <c r="U29" s="28" t="s">
        <v>52</v>
      </c>
    </row>
    <row r="30">
      <c r="A30" s="25" t="s">
        <v>53</v>
      </c>
      <c r="B30" s="7">
        <v>80.52</v>
      </c>
      <c r="C30" s="7">
        <v>80.89</v>
      </c>
      <c r="D30" s="7">
        <v>82.84</v>
      </c>
      <c r="E30" s="7">
        <v>82.86</v>
      </c>
      <c r="F30" s="1">
        <v>80.72</v>
      </c>
      <c r="G30" s="1">
        <v>81.03</v>
      </c>
      <c r="H30" s="16">
        <v>89.87</v>
      </c>
      <c r="I30" s="17">
        <v>87.74</v>
      </c>
      <c r="J30" s="17">
        <v>86.31</v>
      </c>
      <c r="K30" s="17">
        <v>85.0</v>
      </c>
      <c r="L30" s="19">
        <v>88.7</v>
      </c>
      <c r="M30" s="13">
        <v>87.0</v>
      </c>
      <c r="N30" s="7">
        <v>100.0</v>
      </c>
      <c r="O30" s="7">
        <v>100.0</v>
      </c>
      <c r="P30" s="7">
        <v>100.0</v>
      </c>
      <c r="Q30" s="22">
        <v>100.0</v>
      </c>
      <c r="R30" s="7">
        <v>100.0</v>
      </c>
      <c r="S30" s="7">
        <v>100.0</v>
      </c>
      <c r="U30" s="28" t="s">
        <v>54</v>
      </c>
    </row>
    <row r="31">
      <c r="A31" s="33" t="s">
        <v>55</v>
      </c>
      <c r="B31" s="7">
        <v>79.6</v>
      </c>
      <c r="C31" s="7">
        <v>79.84</v>
      </c>
      <c r="D31" s="7">
        <v>81.54</v>
      </c>
      <c r="E31" s="7">
        <v>82.06</v>
      </c>
      <c r="F31" s="1">
        <v>79.83</v>
      </c>
      <c r="G31" s="1">
        <v>80.1</v>
      </c>
      <c r="H31" s="16">
        <v>72.78</v>
      </c>
      <c r="I31" s="17">
        <v>70.92</v>
      </c>
      <c r="J31" s="17">
        <v>73.32</v>
      </c>
      <c r="K31" s="17">
        <v>72.64</v>
      </c>
      <c r="L31" s="19">
        <v>73.33</v>
      </c>
      <c r="M31" s="13">
        <v>72.08</v>
      </c>
      <c r="N31" s="7">
        <v>100.0</v>
      </c>
      <c r="O31" s="7">
        <v>100.0</v>
      </c>
      <c r="P31" s="7">
        <v>100.0</v>
      </c>
      <c r="Q31" s="22">
        <v>100.0</v>
      </c>
      <c r="R31" s="7">
        <v>100.0</v>
      </c>
      <c r="S31" s="7">
        <v>100.0</v>
      </c>
      <c r="U31" s="28" t="s">
        <v>56</v>
      </c>
    </row>
    <row r="32">
      <c r="A32" s="25" t="s">
        <v>57</v>
      </c>
      <c r="B32" s="15">
        <v>82.89</v>
      </c>
      <c r="C32" s="15">
        <v>83.81</v>
      </c>
      <c r="D32" s="7">
        <v>83.56</v>
      </c>
      <c r="E32" s="7">
        <v>83.37</v>
      </c>
      <c r="F32" s="1">
        <v>81.71</v>
      </c>
      <c r="G32" s="1">
        <v>82.51</v>
      </c>
      <c r="H32" s="16">
        <v>77.08</v>
      </c>
      <c r="I32" s="17">
        <v>78.35</v>
      </c>
      <c r="J32" s="17">
        <v>77.73</v>
      </c>
      <c r="K32" s="17">
        <v>76.23</v>
      </c>
      <c r="L32" s="29">
        <v>78.3</v>
      </c>
      <c r="M32" s="30">
        <v>78.22</v>
      </c>
      <c r="N32" s="7">
        <v>100.0</v>
      </c>
      <c r="O32" s="7">
        <v>100.0</v>
      </c>
      <c r="P32" s="7">
        <v>100.0</v>
      </c>
      <c r="Q32" s="22">
        <v>100.0</v>
      </c>
      <c r="R32" s="7">
        <v>100.0</v>
      </c>
      <c r="S32" s="7">
        <v>100.0</v>
      </c>
      <c r="U32" s="28" t="s">
        <v>58</v>
      </c>
    </row>
    <row r="33">
      <c r="A33" s="33" t="s">
        <v>59</v>
      </c>
      <c r="B33" s="15">
        <v>79.67</v>
      </c>
      <c r="C33" s="15">
        <v>80.09</v>
      </c>
      <c r="D33" s="7">
        <v>80.7</v>
      </c>
      <c r="E33" s="7">
        <v>81.14</v>
      </c>
      <c r="F33" s="1">
        <v>80.1</v>
      </c>
      <c r="G33" s="1">
        <v>80.22</v>
      </c>
      <c r="H33" s="16">
        <v>86.35</v>
      </c>
      <c r="I33" s="17">
        <v>85.08</v>
      </c>
      <c r="J33" s="17">
        <v>85.61</v>
      </c>
      <c r="K33" s="17">
        <v>70.31</v>
      </c>
      <c r="L33" s="19">
        <v>86.6</v>
      </c>
      <c r="M33" s="13">
        <v>85.59</v>
      </c>
      <c r="N33" s="7">
        <v>100.0</v>
      </c>
      <c r="O33" s="7">
        <v>100.0</v>
      </c>
      <c r="P33" s="7">
        <v>100.0</v>
      </c>
      <c r="Q33" s="22">
        <v>100.0</v>
      </c>
      <c r="R33" s="7">
        <v>100.0</v>
      </c>
      <c r="S33" s="7">
        <v>100.0</v>
      </c>
    </row>
    <row r="34">
      <c r="A34" s="6" t="s">
        <v>60</v>
      </c>
      <c r="B34" s="7">
        <v>81.87</v>
      </c>
      <c r="C34" s="7">
        <v>82.08</v>
      </c>
      <c r="D34" s="7">
        <v>80.48</v>
      </c>
      <c r="E34" s="7">
        <v>80.69</v>
      </c>
      <c r="F34" s="8">
        <v>79.21</v>
      </c>
      <c r="G34" s="8">
        <v>79.67</v>
      </c>
      <c r="H34" s="21">
        <v>87.76</v>
      </c>
      <c r="I34" s="18">
        <v>88.02</v>
      </c>
      <c r="J34" s="17">
        <v>84.95</v>
      </c>
      <c r="K34" s="17">
        <v>83.5</v>
      </c>
      <c r="L34" s="19">
        <v>83.88</v>
      </c>
      <c r="M34" s="13">
        <v>84.8</v>
      </c>
      <c r="N34" s="7">
        <v>100.0</v>
      </c>
      <c r="O34" s="7">
        <v>100.0</v>
      </c>
      <c r="P34" s="7">
        <v>96.29</v>
      </c>
      <c r="Q34" s="22">
        <v>96.29</v>
      </c>
      <c r="R34" s="7">
        <v>100.0</v>
      </c>
      <c r="S34" s="7">
        <v>100.0</v>
      </c>
    </row>
    <row r="35">
      <c r="A35" s="23" t="s">
        <v>61</v>
      </c>
      <c r="B35" s="7">
        <v>79.94</v>
      </c>
      <c r="C35" s="7">
        <v>81.39</v>
      </c>
      <c r="D35" s="7">
        <v>84.45</v>
      </c>
      <c r="E35" s="7">
        <v>83.96</v>
      </c>
      <c r="F35" s="1">
        <v>79.86</v>
      </c>
      <c r="G35" s="1">
        <v>80.97</v>
      </c>
      <c r="H35" s="16">
        <v>91.76</v>
      </c>
      <c r="I35" s="17">
        <v>88.35</v>
      </c>
      <c r="J35" s="17">
        <v>91.92</v>
      </c>
      <c r="K35" s="17">
        <v>88.01</v>
      </c>
      <c r="L35" s="19">
        <v>87.19</v>
      </c>
      <c r="M35" s="13">
        <v>87.12</v>
      </c>
      <c r="N35" s="7">
        <v>100.0</v>
      </c>
      <c r="O35" s="7">
        <v>100.0</v>
      </c>
      <c r="P35" s="7">
        <v>100.0</v>
      </c>
      <c r="Q35" s="24">
        <v>100.0</v>
      </c>
      <c r="R35" s="7">
        <v>100.0</v>
      </c>
      <c r="S35" s="7">
        <v>100.0</v>
      </c>
    </row>
    <row r="36">
      <c r="A36" s="23" t="s">
        <v>62</v>
      </c>
      <c r="B36" s="7">
        <v>80.43</v>
      </c>
      <c r="C36" s="7">
        <v>81.11</v>
      </c>
      <c r="D36" s="7">
        <v>84.52</v>
      </c>
      <c r="E36" s="7">
        <v>83.81</v>
      </c>
      <c r="F36" s="1">
        <v>83.7</v>
      </c>
      <c r="G36" s="1">
        <v>83.74</v>
      </c>
      <c r="H36" s="16">
        <v>86.88</v>
      </c>
      <c r="I36" s="17">
        <v>83.43</v>
      </c>
      <c r="J36" s="17">
        <v>81.06</v>
      </c>
      <c r="K36" s="17">
        <v>81.15</v>
      </c>
      <c r="L36" s="19">
        <v>86.35</v>
      </c>
      <c r="M36" s="13">
        <v>81.91</v>
      </c>
      <c r="N36" s="7">
        <v>100.0</v>
      </c>
      <c r="O36" s="7">
        <v>100.0</v>
      </c>
      <c r="P36" s="7">
        <v>71.42</v>
      </c>
      <c r="Q36" s="24">
        <v>71.42</v>
      </c>
      <c r="R36" s="7">
        <v>100.0</v>
      </c>
      <c r="S36" s="7">
        <v>100.0</v>
      </c>
    </row>
    <row r="37">
      <c r="A37" s="23" t="s">
        <v>63</v>
      </c>
      <c r="B37" s="7">
        <v>81.17</v>
      </c>
      <c r="C37" s="7">
        <v>81.58</v>
      </c>
      <c r="D37" s="7">
        <v>81.13</v>
      </c>
      <c r="E37" s="31"/>
      <c r="F37" s="1">
        <v>81.63</v>
      </c>
      <c r="G37" s="1">
        <v>81.43</v>
      </c>
      <c r="H37" s="16">
        <v>91.06</v>
      </c>
      <c r="I37" s="17">
        <v>87.64</v>
      </c>
      <c r="J37" s="13">
        <v>81.23</v>
      </c>
      <c r="K37" s="34"/>
      <c r="L37" s="19">
        <v>91.07</v>
      </c>
      <c r="M37" s="13">
        <v>86.28</v>
      </c>
      <c r="N37" s="7">
        <v>100.0</v>
      </c>
      <c r="O37" s="7">
        <v>100.0</v>
      </c>
      <c r="P37" s="7">
        <v>100.0</v>
      </c>
      <c r="Q37" s="22"/>
      <c r="R37" s="7">
        <v>100.0</v>
      </c>
      <c r="S37" s="7">
        <v>100.0</v>
      </c>
    </row>
    <row r="38">
      <c r="A38" s="23" t="s">
        <v>64</v>
      </c>
      <c r="B38" s="7">
        <v>80.29</v>
      </c>
      <c r="C38" s="7">
        <v>80.85</v>
      </c>
      <c r="D38" s="15">
        <v>81.82</v>
      </c>
      <c r="E38" s="15">
        <v>81.75</v>
      </c>
      <c r="F38" s="1">
        <v>80.45</v>
      </c>
      <c r="G38" s="1">
        <v>81.12</v>
      </c>
      <c r="H38" s="16">
        <v>81.78</v>
      </c>
      <c r="I38" s="17">
        <v>81.28</v>
      </c>
      <c r="J38" s="17">
        <v>83.19</v>
      </c>
      <c r="K38" s="17">
        <v>80.34</v>
      </c>
      <c r="L38" s="29">
        <v>85.89</v>
      </c>
      <c r="M38" s="30">
        <v>83.45</v>
      </c>
      <c r="N38" s="7">
        <v>100.0</v>
      </c>
      <c r="O38" s="7">
        <v>100.0</v>
      </c>
      <c r="P38" s="7">
        <v>100.0</v>
      </c>
      <c r="Q38" s="22">
        <v>100.0</v>
      </c>
      <c r="R38" s="7">
        <v>100.0</v>
      </c>
      <c r="S38" s="7">
        <v>100.0</v>
      </c>
    </row>
    <row r="39">
      <c r="A39" s="23" t="s">
        <v>65</v>
      </c>
      <c r="B39" s="7">
        <v>79.46</v>
      </c>
      <c r="C39" s="7">
        <v>79.81</v>
      </c>
      <c r="D39" s="15">
        <v>79.79</v>
      </c>
      <c r="E39" s="15">
        <v>78.64</v>
      </c>
      <c r="F39" s="1">
        <v>79.32</v>
      </c>
      <c r="G39" s="1">
        <v>79.8</v>
      </c>
      <c r="H39" s="16">
        <v>85.45</v>
      </c>
      <c r="I39" s="32"/>
      <c r="J39" s="17">
        <v>76.88</v>
      </c>
      <c r="K39" s="17">
        <v>71.61</v>
      </c>
      <c r="L39" s="19">
        <v>86.11</v>
      </c>
      <c r="M39" s="13">
        <v>84.03</v>
      </c>
      <c r="N39" s="7">
        <v>100.0</v>
      </c>
      <c r="O39" s="7">
        <v>100.0</v>
      </c>
      <c r="P39" s="7">
        <v>100.0</v>
      </c>
      <c r="Q39" s="24">
        <v>91.66</v>
      </c>
      <c r="R39" s="7">
        <v>100.0</v>
      </c>
      <c r="S39" s="7">
        <v>100.0</v>
      </c>
    </row>
    <row r="40">
      <c r="A40" s="23" t="s">
        <v>66</v>
      </c>
      <c r="B40" s="7">
        <v>81.15</v>
      </c>
      <c r="C40" s="7">
        <v>81.69</v>
      </c>
      <c r="D40" s="7">
        <v>83.43</v>
      </c>
      <c r="E40" s="7">
        <v>84.19</v>
      </c>
      <c r="F40" s="8">
        <v>83.3</v>
      </c>
      <c r="G40" s="8">
        <v>83.73</v>
      </c>
      <c r="H40" s="16">
        <v>86.05</v>
      </c>
      <c r="I40" s="17">
        <v>82.34</v>
      </c>
      <c r="J40" s="17">
        <v>84.14</v>
      </c>
      <c r="K40" s="17">
        <v>79.85</v>
      </c>
      <c r="L40" s="29">
        <v>89.6</v>
      </c>
      <c r="M40" s="30">
        <v>84.61</v>
      </c>
      <c r="N40" s="7">
        <v>100.0</v>
      </c>
      <c r="O40" s="7">
        <v>100.0</v>
      </c>
      <c r="P40" s="7">
        <v>100.0</v>
      </c>
      <c r="Q40" s="22">
        <v>100.0</v>
      </c>
      <c r="R40" s="7">
        <v>100.0</v>
      </c>
      <c r="S40" s="7">
        <v>100.0</v>
      </c>
    </row>
    <row r="41">
      <c r="A41" s="23" t="s">
        <v>67</v>
      </c>
      <c r="B41" s="7">
        <v>78.31</v>
      </c>
      <c r="C41" s="7">
        <v>78.71</v>
      </c>
      <c r="D41" s="7">
        <v>79.18</v>
      </c>
      <c r="E41" s="7">
        <v>79.4</v>
      </c>
      <c r="F41" s="8">
        <v>78.91</v>
      </c>
      <c r="G41" s="8">
        <v>78.99</v>
      </c>
      <c r="H41" s="16">
        <v>60.94</v>
      </c>
      <c r="I41" s="32"/>
      <c r="J41" s="17">
        <v>61.5</v>
      </c>
      <c r="K41" s="17">
        <v>61.08</v>
      </c>
      <c r="L41" s="19">
        <v>61.94</v>
      </c>
      <c r="M41" s="13">
        <v>60.98</v>
      </c>
      <c r="N41" s="7">
        <v>100.0</v>
      </c>
      <c r="O41" s="7">
        <v>100.0</v>
      </c>
      <c r="P41" s="7">
        <v>100.0</v>
      </c>
      <c r="Q41" s="22">
        <v>100.0</v>
      </c>
      <c r="R41" s="7">
        <v>100.0</v>
      </c>
      <c r="S41" s="7">
        <v>100.0</v>
      </c>
    </row>
    <row r="42">
      <c r="A42" s="23" t="s">
        <v>68</v>
      </c>
      <c r="B42" s="15">
        <v>80.38</v>
      </c>
      <c r="C42" s="15">
        <v>79.99</v>
      </c>
      <c r="D42" s="7">
        <v>81.11</v>
      </c>
      <c r="E42" s="7">
        <v>81.49</v>
      </c>
      <c r="F42" s="1">
        <v>80.33</v>
      </c>
      <c r="G42" s="1">
        <v>81.04</v>
      </c>
      <c r="H42" s="16">
        <v>77.45</v>
      </c>
      <c r="I42" s="17">
        <v>77.11</v>
      </c>
      <c r="J42" s="17">
        <v>77.22</v>
      </c>
      <c r="K42" s="17">
        <v>81.21</v>
      </c>
      <c r="L42" s="29">
        <v>80.98</v>
      </c>
      <c r="M42" s="30">
        <v>79.45</v>
      </c>
      <c r="N42" s="7">
        <v>100.0</v>
      </c>
      <c r="O42" s="7">
        <v>100.0</v>
      </c>
      <c r="P42" s="7">
        <v>100.0</v>
      </c>
      <c r="Q42" s="22">
        <v>81.81</v>
      </c>
      <c r="R42" s="7">
        <v>100.0</v>
      </c>
      <c r="S42" s="7">
        <v>100.0</v>
      </c>
    </row>
    <row r="43">
      <c r="A43" s="23" t="s">
        <v>69</v>
      </c>
      <c r="B43" s="7">
        <v>79.05</v>
      </c>
      <c r="C43" s="7">
        <v>80.08</v>
      </c>
      <c r="D43" s="7">
        <v>79.86</v>
      </c>
      <c r="E43" s="7">
        <v>80.62</v>
      </c>
      <c r="F43" s="1">
        <v>80.49</v>
      </c>
      <c r="G43" s="1">
        <v>79.99</v>
      </c>
      <c r="H43" s="16">
        <v>71.01</v>
      </c>
      <c r="I43" s="32"/>
      <c r="J43" s="17">
        <v>75.24</v>
      </c>
      <c r="K43" s="17">
        <v>73.86</v>
      </c>
      <c r="L43" s="19">
        <v>75.79</v>
      </c>
      <c r="M43" s="13">
        <v>74.79</v>
      </c>
      <c r="N43" s="7">
        <v>100.0</v>
      </c>
      <c r="O43" s="7">
        <v>100.0</v>
      </c>
      <c r="P43" s="7">
        <v>100.0</v>
      </c>
      <c r="Q43" s="24">
        <v>100.0</v>
      </c>
      <c r="R43" s="7">
        <v>100.0</v>
      </c>
      <c r="S43" s="7">
        <v>100.0</v>
      </c>
    </row>
    <row r="44">
      <c r="A44" s="23" t="s">
        <v>70</v>
      </c>
      <c r="B44" s="7">
        <v>80.92</v>
      </c>
      <c r="C44" s="7">
        <v>81.08</v>
      </c>
      <c r="D44" s="15">
        <v>83.92</v>
      </c>
      <c r="E44" s="15">
        <v>83.09</v>
      </c>
      <c r="F44" s="1">
        <v>81.49</v>
      </c>
      <c r="G44" s="1">
        <v>82.3</v>
      </c>
      <c r="H44" s="16">
        <v>80.13</v>
      </c>
      <c r="I44" s="17">
        <v>83.65</v>
      </c>
      <c r="J44" s="18">
        <v>84.24</v>
      </c>
      <c r="K44" s="18">
        <v>85.2</v>
      </c>
      <c r="L44" s="19">
        <v>61.84</v>
      </c>
      <c r="M44" s="13">
        <v>82.45</v>
      </c>
      <c r="N44" s="7">
        <v>100.0</v>
      </c>
      <c r="O44" s="7">
        <v>100.0</v>
      </c>
      <c r="P44" s="7">
        <v>100.0</v>
      </c>
      <c r="Q44" s="20">
        <v>100.0</v>
      </c>
      <c r="R44" s="7">
        <v>100.0</v>
      </c>
      <c r="S44" s="7">
        <v>100.0</v>
      </c>
    </row>
    <row r="45">
      <c r="A45" s="23" t="s">
        <v>71</v>
      </c>
      <c r="B45" s="15">
        <v>81.69</v>
      </c>
      <c r="C45" s="15">
        <v>81.85</v>
      </c>
      <c r="D45" s="7">
        <v>85.25</v>
      </c>
      <c r="E45" s="7">
        <v>86.97</v>
      </c>
      <c r="F45" s="1">
        <v>83.85</v>
      </c>
      <c r="G45" s="1">
        <v>86.12</v>
      </c>
      <c r="H45" s="16">
        <v>76.18</v>
      </c>
      <c r="I45" s="17">
        <v>77.8</v>
      </c>
      <c r="J45" s="18">
        <v>80.51</v>
      </c>
      <c r="K45" s="18">
        <v>79.06</v>
      </c>
      <c r="L45" s="19">
        <v>79.36</v>
      </c>
      <c r="M45" s="13">
        <v>79.15</v>
      </c>
      <c r="N45" s="7">
        <v>100.0</v>
      </c>
      <c r="O45" s="7">
        <v>100.0</v>
      </c>
      <c r="P45" s="7">
        <v>100.0</v>
      </c>
      <c r="Q45" s="20">
        <v>100.0</v>
      </c>
      <c r="R45" s="7">
        <v>100.0</v>
      </c>
      <c r="S45" s="7">
        <v>100.0</v>
      </c>
    </row>
    <row r="46">
      <c r="A46" s="23" t="s">
        <v>72</v>
      </c>
      <c r="B46" s="7">
        <v>80.81</v>
      </c>
      <c r="C46" s="7">
        <v>81.76</v>
      </c>
      <c r="D46" s="7">
        <v>83.06</v>
      </c>
      <c r="E46" s="7">
        <v>82.16</v>
      </c>
      <c r="F46" s="8">
        <v>82.19</v>
      </c>
      <c r="G46" s="8">
        <v>83.65</v>
      </c>
      <c r="H46" s="16">
        <v>82.45</v>
      </c>
      <c r="I46" s="17">
        <v>84.74</v>
      </c>
      <c r="J46" s="17">
        <v>87.01</v>
      </c>
      <c r="K46" s="17">
        <v>82.05</v>
      </c>
      <c r="L46" s="29">
        <v>92.11</v>
      </c>
      <c r="M46" s="30">
        <v>86.35</v>
      </c>
      <c r="N46" s="7">
        <v>100.0</v>
      </c>
      <c r="O46" s="7">
        <v>100.0</v>
      </c>
      <c r="P46" s="7">
        <v>100.0</v>
      </c>
      <c r="Q46" s="22">
        <v>100.0</v>
      </c>
      <c r="R46" s="7">
        <v>100.0</v>
      </c>
      <c r="S46" s="7">
        <v>100.0</v>
      </c>
    </row>
    <row r="47">
      <c r="A47" s="35" t="s">
        <v>73</v>
      </c>
      <c r="B47" s="36">
        <f t="shared" ref="B47:S47" si="1">AVERAGE(B5:B46)</f>
        <v>80.785</v>
      </c>
      <c r="C47" s="36">
        <f t="shared" si="1"/>
        <v>81.20380952</v>
      </c>
      <c r="D47" s="37">
        <f t="shared" si="1"/>
        <v>81.73547619</v>
      </c>
      <c r="E47" s="37">
        <f t="shared" si="1"/>
        <v>81.76589744</v>
      </c>
      <c r="F47" s="37">
        <f t="shared" si="1"/>
        <v>80.80214286</v>
      </c>
      <c r="G47" s="37">
        <f t="shared" si="1"/>
        <v>81.24536585</v>
      </c>
      <c r="H47" s="38">
        <f t="shared" si="1"/>
        <v>82.64357143</v>
      </c>
      <c r="I47" s="38">
        <f t="shared" si="1"/>
        <v>82.15076923</v>
      </c>
      <c r="J47" s="37">
        <f t="shared" si="1"/>
        <v>78.50333333</v>
      </c>
      <c r="K47" s="37">
        <f t="shared" si="1"/>
        <v>78.58975</v>
      </c>
      <c r="L47" s="39">
        <f t="shared" si="1"/>
        <v>81.7</v>
      </c>
      <c r="M47" s="39">
        <f t="shared" si="1"/>
        <v>80.93195122</v>
      </c>
      <c r="N47" s="39">
        <f t="shared" si="1"/>
        <v>100</v>
      </c>
      <c r="O47" s="39">
        <f t="shared" si="1"/>
        <v>100</v>
      </c>
      <c r="P47" s="39">
        <f t="shared" si="1"/>
        <v>98.755</v>
      </c>
      <c r="Q47" s="39">
        <f t="shared" si="1"/>
        <v>96.12634146</v>
      </c>
      <c r="R47" s="39">
        <f t="shared" si="1"/>
        <v>100</v>
      </c>
      <c r="S47" s="39">
        <f t="shared" si="1"/>
        <v>100</v>
      </c>
    </row>
    <row r="48">
      <c r="A48" s="40" t="s">
        <v>74</v>
      </c>
      <c r="B48" s="37">
        <f t="shared" ref="B48:C48" si="2">AVERAGE(B5:B15,B34:B46)</f>
        <v>80.77083333</v>
      </c>
      <c r="C48" s="37">
        <f t="shared" si="2"/>
        <v>81.08</v>
      </c>
      <c r="D48" s="37">
        <f t="shared" ref="D48:S48" si="3">AVERAGE(D5:D11,D34:D46)</f>
        <v>81.861</v>
      </c>
      <c r="E48" s="37">
        <f t="shared" si="3"/>
        <v>81.84842105</v>
      </c>
      <c r="F48" s="37">
        <f t="shared" si="3"/>
        <v>80.9935</v>
      </c>
      <c r="G48" s="37">
        <f t="shared" si="3"/>
        <v>81.4565</v>
      </c>
      <c r="H48" s="38">
        <f t="shared" si="3"/>
        <v>83.733</v>
      </c>
      <c r="I48" s="38">
        <f t="shared" si="3"/>
        <v>84.20352941</v>
      </c>
      <c r="J48" s="37">
        <f t="shared" si="3"/>
        <v>80.2305</v>
      </c>
      <c r="K48" s="37">
        <f t="shared" si="3"/>
        <v>79.48368421</v>
      </c>
      <c r="L48" s="39">
        <f t="shared" si="3"/>
        <v>82.3605</v>
      </c>
      <c r="M48" s="39">
        <f t="shared" si="3"/>
        <v>81.833</v>
      </c>
      <c r="N48" s="39">
        <f t="shared" si="3"/>
        <v>100</v>
      </c>
      <c r="O48" s="39">
        <f t="shared" si="3"/>
        <v>100</v>
      </c>
      <c r="P48" s="39">
        <f t="shared" si="3"/>
        <v>97.3855</v>
      </c>
      <c r="Q48" s="39">
        <f t="shared" si="3"/>
        <v>93.74631579</v>
      </c>
      <c r="R48" s="39">
        <f t="shared" si="3"/>
        <v>100</v>
      </c>
      <c r="S48" s="39">
        <f t="shared" si="3"/>
        <v>100</v>
      </c>
    </row>
    <row r="49">
      <c r="A49" s="40" t="s">
        <v>75</v>
      </c>
      <c r="B49" s="37">
        <f t="shared" ref="B49:C49" si="4">AVERAGE(B13:B33)</f>
        <v>80.73571429</v>
      </c>
      <c r="C49" s="37">
        <f t="shared" si="4"/>
        <v>81.24857143</v>
      </c>
      <c r="D49" s="37">
        <f t="shared" ref="D49:S49" si="5">AVERAGE(D12:D33)</f>
        <v>81.62136364</v>
      </c>
      <c r="E49" s="37">
        <f t="shared" si="5"/>
        <v>81.6875</v>
      </c>
      <c r="F49" s="37">
        <f t="shared" si="5"/>
        <v>80.62818182</v>
      </c>
      <c r="G49" s="37">
        <f t="shared" si="5"/>
        <v>81.04428571</v>
      </c>
      <c r="H49" s="38">
        <f t="shared" si="5"/>
        <v>81.65318182</v>
      </c>
      <c r="I49" s="38">
        <f t="shared" si="5"/>
        <v>80.56454545</v>
      </c>
      <c r="J49" s="37">
        <f t="shared" si="5"/>
        <v>76.93318182</v>
      </c>
      <c r="K49" s="37">
        <f t="shared" si="5"/>
        <v>77.78095238</v>
      </c>
      <c r="L49" s="39">
        <f t="shared" si="5"/>
        <v>81.09954545</v>
      </c>
      <c r="M49" s="39">
        <f t="shared" si="5"/>
        <v>80.07380952</v>
      </c>
      <c r="N49" s="39">
        <f t="shared" si="5"/>
        <v>100</v>
      </c>
      <c r="O49" s="39">
        <f t="shared" si="5"/>
        <v>100</v>
      </c>
      <c r="P49" s="39">
        <f t="shared" si="5"/>
        <v>100</v>
      </c>
      <c r="Q49" s="39">
        <f t="shared" si="5"/>
        <v>98.18181818</v>
      </c>
      <c r="R49" s="39">
        <f t="shared" si="5"/>
        <v>100</v>
      </c>
      <c r="S49" s="39">
        <f t="shared" si="5"/>
        <v>100</v>
      </c>
    </row>
    <row r="50">
      <c r="A50" s="40" t="s">
        <v>76</v>
      </c>
      <c r="B50" s="37">
        <f t="shared" ref="B50:S50" si="6">AVERAGE(B5,B9:B11,B15,B18,B21,B25:B26)</f>
        <v>82.30666667</v>
      </c>
      <c r="C50" s="37">
        <f t="shared" si="6"/>
        <v>82.83888889</v>
      </c>
      <c r="D50" s="37">
        <f t="shared" si="6"/>
        <v>82.51777778</v>
      </c>
      <c r="E50" s="37">
        <f t="shared" si="6"/>
        <v>82.20666667</v>
      </c>
      <c r="F50" s="36">
        <f t="shared" si="6"/>
        <v>81.10111111</v>
      </c>
      <c r="G50" s="36">
        <f t="shared" si="6"/>
        <v>81.57777778</v>
      </c>
      <c r="H50" s="41">
        <f t="shared" si="6"/>
        <v>87.61666667</v>
      </c>
      <c r="I50" s="41">
        <f t="shared" si="6"/>
        <v>85.31222222</v>
      </c>
      <c r="J50" s="37">
        <f t="shared" si="6"/>
        <v>73.38111111</v>
      </c>
      <c r="K50" s="37">
        <f t="shared" si="6"/>
        <v>81.02</v>
      </c>
      <c r="L50" s="39">
        <f t="shared" si="6"/>
        <v>83.71222222</v>
      </c>
      <c r="M50" s="39">
        <f t="shared" si="6"/>
        <v>84.36</v>
      </c>
      <c r="N50" s="39">
        <f t="shared" si="6"/>
        <v>100</v>
      </c>
      <c r="O50" s="39">
        <f t="shared" si="6"/>
        <v>100</v>
      </c>
      <c r="P50" s="39">
        <f t="shared" si="6"/>
        <v>97.77777778</v>
      </c>
      <c r="Q50" s="39">
        <f t="shared" si="6"/>
        <v>88.88888889</v>
      </c>
      <c r="R50" s="39">
        <f t="shared" si="6"/>
        <v>100</v>
      </c>
      <c r="S50" s="39">
        <f t="shared" si="6"/>
        <v>100</v>
      </c>
    </row>
    <row r="51">
      <c r="A51" s="40" t="s">
        <v>77</v>
      </c>
      <c r="B51" s="36">
        <f t="shared" ref="B51:S51" si="7">AVERAGE(B6:B7,B22,B24,B32,B34)</f>
        <v>81.51666667</v>
      </c>
      <c r="C51" s="36">
        <f t="shared" si="7"/>
        <v>81.725</v>
      </c>
      <c r="D51" s="37">
        <f t="shared" si="7"/>
        <v>81.35666667</v>
      </c>
      <c r="E51" s="37">
        <f t="shared" si="7"/>
        <v>81.435</v>
      </c>
      <c r="F51" s="37">
        <f t="shared" si="7"/>
        <v>80.5</v>
      </c>
      <c r="G51" s="37">
        <f t="shared" si="7"/>
        <v>81.06166667</v>
      </c>
      <c r="H51" s="42">
        <f t="shared" si="7"/>
        <v>83.47166667</v>
      </c>
      <c r="I51" s="42">
        <f t="shared" si="7"/>
        <v>83.16833333</v>
      </c>
      <c r="J51" s="43">
        <f t="shared" si="7"/>
        <v>81.75166667</v>
      </c>
      <c r="K51" s="43">
        <f t="shared" si="7"/>
        <v>79.59</v>
      </c>
      <c r="L51" s="44">
        <f t="shared" si="7"/>
        <v>82.25333333</v>
      </c>
      <c r="M51" s="44">
        <f t="shared" si="7"/>
        <v>82.11166667</v>
      </c>
      <c r="N51" s="44">
        <f t="shared" si="7"/>
        <v>100</v>
      </c>
      <c r="O51" s="44">
        <f t="shared" si="7"/>
        <v>100</v>
      </c>
      <c r="P51" s="44">
        <f t="shared" si="7"/>
        <v>99.38166667</v>
      </c>
      <c r="Q51" s="44">
        <f t="shared" si="7"/>
        <v>99.38166667</v>
      </c>
      <c r="R51" s="44">
        <f t="shared" si="7"/>
        <v>100</v>
      </c>
      <c r="S51" s="44">
        <f t="shared" si="7"/>
        <v>100</v>
      </c>
    </row>
    <row r="52">
      <c r="A52" s="45"/>
      <c r="B52" s="45"/>
      <c r="C52" s="45"/>
      <c r="D52" s="45"/>
      <c r="E52" s="45"/>
    </row>
    <row r="53">
      <c r="A53" s="46" t="s">
        <v>78</v>
      </c>
      <c r="S53" s="46"/>
    </row>
    <row r="54">
      <c r="A54" s="45"/>
      <c r="B54" s="45"/>
      <c r="C54" s="45"/>
      <c r="D54" s="45"/>
      <c r="E54" s="45"/>
    </row>
    <row r="55">
      <c r="A55" s="1" t="s">
        <v>79</v>
      </c>
    </row>
    <row r="56">
      <c r="A56" s="45"/>
      <c r="B56" s="45"/>
      <c r="C56" s="45"/>
      <c r="D56" s="45"/>
      <c r="E56" s="45"/>
    </row>
    <row r="57">
      <c r="A57" s="45"/>
      <c r="B57" s="45"/>
      <c r="C57" s="45"/>
      <c r="D57" s="45"/>
      <c r="E57" s="45"/>
    </row>
    <row r="58">
      <c r="A58" s="45"/>
      <c r="B58" s="45"/>
      <c r="C58" s="45"/>
      <c r="D58" s="45"/>
      <c r="E58" s="45"/>
    </row>
    <row r="59">
      <c r="A59" s="45"/>
      <c r="B59" s="45"/>
      <c r="C59" s="45"/>
      <c r="D59" s="45"/>
      <c r="E59" s="45"/>
    </row>
    <row r="60">
      <c r="A60" s="45"/>
      <c r="B60" s="45"/>
      <c r="C60" s="45"/>
      <c r="D60" s="45"/>
      <c r="E60" s="45"/>
    </row>
    <row r="61">
      <c r="A61" s="45"/>
      <c r="B61" s="45"/>
      <c r="C61" s="45"/>
      <c r="D61" s="45"/>
      <c r="E61" s="45"/>
    </row>
    <row r="62">
      <c r="A62" s="45"/>
      <c r="B62" s="45"/>
      <c r="C62" s="45"/>
      <c r="D62" s="45"/>
      <c r="E62" s="45"/>
    </row>
    <row r="63">
      <c r="A63" s="45"/>
      <c r="B63" s="45"/>
      <c r="C63" s="45"/>
      <c r="D63" s="45"/>
      <c r="E63" s="45"/>
    </row>
    <row r="64">
      <c r="A64" s="45"/>
      <c r="B64" s="45"/>
      <c r="C64" s="45"/>
      <c r="D64" s="45"/>
      <c r="E64" s="45"/>
    </row>
    <row r="65">
      <c r="A65" s="45"/>
      <c r="B65" s="45"/>
      <c r="C65" s="45"/>
      <c r="D65" s="45"/>
      <c r="E65" s="45"/>
    </row>
    <row r="66">
      <c r="A66" s="45"/>
      <c r="B66" s="45"/>
      <c r="C66" s="45"/>
      <c r="D66" s="45"/>
      <c r="E66" s="45"/>
    </row>
    <row r="67">
      <c r="A67" s="45"/>
      <c r="B67" s="45"/>
      <c r="C67" s="45"/>
      <c r="D67" s="45"/>
      <c r="E67" s="45"/>
    </row>
    <row r="68">
      <c r="A68" s="45"/>
      <c r="B68" s="45"/>
      <c r="C68" s="45"/>
      <c r="D68" s="45"/>
      <c r="E68" s="45"/>
    </row>
    <row r="69">
      <c r="A69" s="45"/>
      <c r="B69" s="45"/>
      <c r="C69" s="45"/>
      <c r="D69" s="45"/>
      <c r="E69" s="45"/>
    </row>
    <row r="70">
      <c r="A70" s="45"/>
      <c r="B70" s="45"/>
      <c r="C70" s="45"/>
      <c r="D70" s="45"/>
      <c r="E70" s="45"/>
    </row>
    <row r="71">
      <c r="A71" s="45"/>
      <c r="B71" s="45"/>
      <c r="C71" s="45"/>
      <c r="D71" s="45"/>
      <c r="E71" s="45"/>
    </row>
    <row r="72">
      <c r="A72" s="45"/>
      <c r="B72" s="45"/>
      <c r="C72" s="45"/>
      <c r="D72" s="45"/>
      <c r="E72" s="45"/>
    </row>
    <row r="73">
      <c r="A73" s="45"/>
      <c r="B73" s="45"/>
      <c r="C73" s="45"/>
      <c r="D73" s="45"/>
      <c r="E73" s="45"/>
    </row>
    <row r="74">
      <c r="A74" s="45"/>
      <c r="B74" s="45"/>
      <c r="C74" s="45"/>
      <c r="D74" s="45"/>
      <c r="E74" s="45"/>
    </row>
    <row r="75">
      <c r="A75" s="45"/>
      <c r="B75" s="45"/>
      <c r="C75" s="45"/>
      <c r="D75" s="45"/>
      <c r="E75" s="45"/>
    </row>
    <row r="76">
      <c r="A76" s="45"/>
      <c r="B76" s="45"/>
      <c r="C76" s="45"/>
      <c r="D76" s="45"/>
      <c r="E76" s="45"/>
    </row>
    <row r="77">
      <c r="A77" s="45"/>
      <c r="B77" s="45"/>
      <c r="C77" s="45"/>
      <c r="D77" s="45"/>
      <c r="E77" s="45"/>
    </row>
    <row r="78">
      <c r="A78" s="45"/>
      <c r="B78" s="45"/>
      <c r="C78" s="45"/>
      <c r="D78" s="45"/>
      <c r="E78" s="45"/>
    </row>
    <row r="79">
      <c r="A79" s="45"/>
      <c r="B79" s="45"/>
      <c r="C79" s="45"/>
      <c r="D79" s="45"/>
      <c r="E79" s="45"/>
    </row>
    <row r="80">
      <c r="A80" s="45"/>
      <c r="B80" s="45"/>
      <c r="C80" s="45"/>
      <c r="D80" s="45"/>
      <c r="E80" s="45"/>
    </row>
    <row r="81">
      <c r="A81" s="45"/>
      <c r="B81" s="45"/>
      <c r="C81" s="45"/>
      <c r="D81" s="45"/>
      <c r="E81" s="45"/>
    </row>
    <row r="82">
      <c r="A82" s="45"/>
      <c r="B82" s="45"/>
      <c r="C82" s="45"/>
      <c r="D82" s="45"/>
      <c r="E82" s="45"/>
    </row>
    <row r="83">
      <c r="A83" s="45"/>
      <c r="B83" s="45"/>
      <c r="C83" s="45"/>
      <c r="D83" s="45"/>
      <c r="E83" s="45"/>
    </row>
    <row r="84">
      <c r="A84" s="45"/>
      <c r="B84" s="45"/>
      <c r="C84" s="45"/>
      <c r="D84" s="45"/>
      <c r="E84" s="45"/>
    </row>
    <row r="85">
      <c r="A85" s="45"/>
      <c r="B85" s="45"/>
      <c r="C85" s="45"/>
      <c r="D85" s="45"/>
      <c r="E85" s="45"/>
    </row>
    <row r="86">
      <c r="A86" s="45"/>
      <c r="B86" s="45"/>
      <c r="C86" s="45"/>
      <c r="D86" s="45"/>
      <c r="E86" s="45"/>
    </row>
    <row r="87">
      <c r="A87" s="45"/>
      <c r="B87" s="45"/>
      <c r="C87" s="45"/>
      <c r="D87" s="45"/>
      <c r="E87" s="45"/>
    </row>
    <row r="88">
      <c r="A88" s="45"/>
      <c r="B88" s="45"/>
      <c r="C88" s="45"/>
      <c r="D88" s="45"/>
      <c r="E88" s="45"/>
    </row>
    <row r="89">
      <c r="A89" s="45"/>
      <c r="B89" s="45"/>
      <c r="C89" s="45"/>
      <c r="D89" s="45"/>
      <c r="E89" s="45"/>
    </row>
  </sheetData>
  <mergeCells count="4">
    <mergeCell ref="B3:F3"/>
    <mergeCell ref="H3:L3"/>
    <mergeCell ref="N3:R3"/>
    <mergeCell ref="A53:R5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5" width="7.0"/>
    <col customWidth="1" min="6" max="6" width="7.75"/>
    <col customWidth="1" min="7" max="7" width="9.75"/>
    <col customWidth="1" min="8" max="8" width="7.75"/>
    <col customWidth="1" min="9" max="9" width="10.13"/>
    <col customWidth="1" min="15" max="15" width="14.25"/>
    <col customWidth="1" min="16" max="16" width="15.63"/>
  </cols>
  <sheetData>
    <row r="1">
      <c r="A1" s="1" t="s">
        <v>80</v>
      </c>
    </row>
    <row r="2">
      <c r="A2" s="47"/>
      <c r="B2" s="48" t="s">
        <v>81</v>
      </c>
      <c r="D2" s="48" t="s">
        <v>82</v>
      </c>
      <c r="P2" s="47"/>
      <c r="Q2" s="47"/>
      <c r="R2" s="47"/>
      <c r="S2" s="47"/>
      <c r="T2" s="47"/>
      <c r="U2" s="47"/>
      <c r="V2" s="47"/>
      <c r="W2" s="47"/>
    </row>
    <row r="3">
      <c r="A3" s="2" t="s">
        <v>1</v>
      </c>
      <c r="B3" s="49" t="s">
        <v>83</v>
      </c>
      <c r="C3" s="49" t="s">
        <v>82</v>
      </c>
      <c r="D3" s="50" t="s">
        <v>5</v>
      </c>
      <c r="E3" s="50" t="s">
        <v>84</v>
      </c>
      <c r="F3" s="49" t="s">
        <v>6</v>
      </c>
      <c r="G3" s="49" t="s">
        <v>85</v>
      </c>
      <c r="H3" s="49" t="s">
        <v>7</v>
      </c>
      <c r="I3" s="49" t="s">
        <v>86</v>
      </c>
      <c r="J3" s="50" t="s">
        <v>87</v>
      </c>
      <c r="K3" s="49" t="s">
        <v>88</v>
      </c>
      <c r="L3" s="50" t="s">
        <v>89</v>
      </c>
      <c r="M3" s="49" t="s">
        <v>90</v>
      </c>
      <c r="N3" s="50" t="s">
        <v>91</v>
      </c>
      <c r="O3" s="49" t="s">
        <v>92</v>
      </c>
    </row>
    <row r="4">
      <c r="A4" s="6" t="s">
        <v>8</v>
      </c>
      <c r="B4" s="13">
        <v>10.0</v>
      </c>
      <c r="C4" s="17">
        <v>21.0</v>
      </c>
      <c r="D4" s="13">
        <v>21.0</v>
      </c>
      <c r="E4" s="13">
        <v>11.0</v>
      </c>
      <c r="F4" s="17">
        <v>10.0</v>
      </c>
      <c r="G4" s="17">
        <v>5.0</v>
      </c>
      <c r="H4" s="17">
        <v>37.0</v>
      </c>
      <c r="I4" s="17">
        <v>18.0</v>
      </c>
      <c r="J4" s="13">
        <v>10.0</v>
      </c>
      <c r="K4" s="17">
        <v>11.0</v>
      </c>
      <c r="L4" s="17">
        <v>5.0</v>
      </c>
      <c r="M4" s="17">
        <v>5.0</v>
      </c>
      <c r="N4" s="13">
        <v>16.0</v>
      </c>
      <c r="O4" s="13">
        <v>13.0</v>
      </c>
    </row>
    <row r="5">
      <c r="A5" s="6" t="s">
        <v>9</v>
      </c>
      <c r="B5" s="13">
        <v>17.0</v>
      </c>
      <c r="C5" s="17">
        <v>20.0</v>
      </c>
      <c r="D5" s="13">
        <v>78.0</v>
      </c>
      <c r="E5" s="13">
        <v>38.0</v>
      </c>
      <c r="F5" s="17">
        <v>29.0</v>
      </c>
      <c r="G5" s="17">
        <v>15.0</v>
      </c>
      <c r="H5" s="17">
        <v>59.0</v>
      </c>
      <c r="I5" s="17">
        <v>29.0</v>
      </c>
      <c r="J5" s="13">
        <v>36.0</v>
      </c>
      <c r="K5" s="17">
        <v>38.0</v>
      </c>
      <c r="L5" s="17">
        <v>15.0</v>
      </c>
      <c r="M5" s="17">
        <v>15.0</v>
      </c>
      <c r="N5" s="13">
        <v>29.0</v>
      </c>
      <c r="O5" s="13">
        <v>25.0</v>
      </c>
    </row>
    <row r="6">
      <c r="A6" s="6" t="s">
        <v>10</v>
      </c>
      <c r="B6" s="13">
        <v>10.0</v>
      </c>
      <c r="C6" s="17">
        <v>8.0</v>
      </c>
      <c r="D6" s="13">
        <v>18.0</v>
      </c>
      <c r="E6" s="13">
        <v>8.0</v>
      </c>
      <c r="F6" s="17">
        <v>6.0</v>
      </c>
      <c r="G6" s="17">
        <v>3.0</v>
      </c>
      <c r="H6" s="17">
        <v>35.0</v>
      </c>
      <c r="I6" s="17">
        <v>15.0</v>
      </c>
      <c r="J6" s="13">
        <v>8.0</v>
      </c>
      <c r="K6" s="17">
        <v>8.0</v>
      </c>
      <c r="L6" s="17">
        <v>3.0</v>
      </c>
      <c r="M6" s="17">
        <v>3.0</v>
      </c>
      <c r="N6" s="13">
        <v>14.0</v>
      </c>
      <c r="O6" s="13">
        <v>15.0</v>
      </c>
    </row>
    <row r="7">
      <c r="A7" s="23" t="s">
        <v>11</v>
      </c>
      <c r="B7" s="13">
        <v>15.0</v>
      </c>
      <c r="C7" s="17">
        <v>7.0</v>
      </c>
      <c r="D7" s="13">
        <v>96.0</v>
      </c>
      <c r="E7" s="13">
        <v>42.0</v>
      </c>
      <c r="F7" s="17">
        <v>21.0</v>
      </c>
      <c r="G7" s="17">
        <v>12.0</v>
      </c>
      <c r="H7" s="17">
        <v>106.0</v>
      </c>
      <c r="I7" s="17">
        <v>32.0</v>
      </c>
      <c r="J7" s="13">
        <v>7.0</v>
      </c>
      <c r="K7" s="17">
        <v>15.0</v>
      </c>
      <c r="L7" s="17">
        <v>8.0</v>
      </c>
      <c r="M7" s="17"/>
      <c r="N7" s="13">
        <v>19.0</v>
      </c>
      <c r="O7" s="34"/>
    </row>
    <row r="8">
      <c r="A8" s="6" t="s">
        <v>12</v>
      </c>
      <c r="B8" s="13">
        <v>8.0</v>
      </c>
      <c r="C8" s="17">
        <v>12.0</v>
      </c>
      <c r="D8" s="13">
        <v>9.0</v>
      </c>
      <c r="E8" s="13">
        <v>3.0</v>
      </c>
      <c r="F8" s="17">
        <v>11.0</v>
      </c>
      <c r="G8" s="17">
        <v>5.0</v>
      </c>
      <c r="H8" s="17">
        <v>35.0</v>
      </c>
      <c r="I8" s="17">
        <v>15.0</v>
      </c>
      <c r="J8" s="13">
        <v>3.0</v>
      </c>
      <c r="K8" s="17">
        <v>3.0</v>
      </c>
      <c r="L8" s="17">
        <v>5.0</v>
      </c>
      <c r="M8" s="17">
        <v>5.0</v>
      </c>
      <c r="N8" s="13">
        <v>11.0</v>
      </c>
      <c r="O8" s="13">
        <v>10.0</v>
      </c>
    </row>
    <row r="9">
      <c r="A9" s="6" t="s">
        <v>13</v>
      </c>
      <c r="B9" s="13">
        <v>8.0</v>
      </c>
      <c r="C9" s="17">
        <v>15.0</v>
      </c>
      <c r="D9" s="13">
        <v>10.0</v>
      </c>
      <c r="E9" s="13">
        <v>6.0</v>
      </c>
      <c r="F9" s="17">
        <v>3.0</v>
      </c>
      <c r="G9" s="17">
        <v>1.0</v>
      </c>
      <c r="H9" s="17">
        <v>24.0</v>
      </c>
      <c r="I9" s="17">
        <v>8.0</v>
      </c>
      <c r="J9" s="13">
        <v>3.0</v>
      </c>
      <c r="K9" s="17">
        <v>5.0</v>
      </c>
      <c r="L9" s="17">
        <v>1.0</v>
      </c>
      <c r="M9" s="17">
        <v>1.0</v>
      </c>
      <c r="N9" s="13">
        <v>8.0</v>
      </c>
      <c r="O9" s="13">
        <v>3.0</v>
      </c>
    </row>
    <row r="10">
      <c r="A10" s="6" t="s">
        <v>14</v>
      </c>
      <c r="B10" s="13">
        <v>9.0</v>
      </c>
      <c r="C10" s="17">
        <v>12.0</v>
      </c>
      <c r="D10" s="13">
        <v>15.0</v>
      </c>
      <c r="E10" s="13">
        <v>10.0</v>
      </c>
      <c r="F10" s="17">
        <v>4.0</v>
      </c>
      <c r="G10" s="17">
        <v>3.0</v>
      </c>
      <c r="H10" s="17">
        <v>39.0</v>
      </c>
      <c r="I10" s="17">
        <v>20.0</v>
      </c>
      <c r="J10" s="13">
        <v>9.0</v>
      </c>
      <c r="K10" s="17">
        <v>10.0</v>
      </c>
      <c r="L10" s="17">
        <v>3.0</v>
      </c>
      <c r="M10" s="17">
        <v>3.0</v>
      </c>
      <c r="N10" s="13">
        <v>18.0</v>
      </c>
      <c r="O10" s="13">
        <v>15.0</v>
      </c>
    </row>
    <row r="11">
      <c r="A11" s="25" t="s">
        <v>16</v>
      </c>
      <c r="B11" s="1">
        <v>38.0</v>
      </c>
      <c r="C11" s="7">
        <v>32.0</v>
      </c>
      <c r="D11" s="1">
        <v>197.0</v>
      </c>
      <c r="E11" s="1">
        <v>87.0</v>
      </c>
      <c r="F11" s="7">
        <v>51.0</v>
      </c>
      <c r="G11" s="7">
        <v>25.0</v>
      </c>
      <c r="H11" s="7">
        <v>122.0</v>
      </c>
      <c r="I11" s="7">
        <v>57.0</v>
      </c>
      <c r="K11" s="7">
        <v>33.0</v>
      </c>
      <c r="L11" s="7">
        <v>21.0</v>
      </c>
      <c r="N11" s="1">
        <v>35.0</v>
      </c>
      <c r="P11" s="1"/>
    </row>
    <row r="12">
      <c r="A12" s="25" t="s">
        <v>19</v>
      </c>
      <c r="B12" s="1">
        <v>43.0</v>
      </c>
      <c r="C12" s="7">
        <v>47.0</v>
      </c>
      <c r="D12" s="1">
        <v>247.0</v>
      </c>
      <c r="E12" s="1">
        <v>106.0</v>
      </c>
      <c r="F12" s="7">
        <v>65.0</v>
      </c>
      <c r="G12" s="7">
        <v>33.0</v>
      </c>
      <c r="H12" s="7">
        <v>182.0</v>
      </c>
      <c r="I12" s="7">
        <v>86.0</v>
      </c>
      <c r="K12" s="7">
        <v>55.0</v>
      </c>
      <c r="L12" s="7">
        <v>24.0</v>
      </c>
      <c r="N12" s="1">
        <v>55.0</v>
      </c>
      <c r="O12" s="28"/>
    </row>
    <row r="13">
      <c r="A13" s="25" t="s">
        <v>21</v>
      </c>
      <c r="B13" s="1">
        <v>26.0</v>
      </c>
      <c r="C13" s="7">
        <v>11.0</v>
      </c>
      <c r="D13" s="1">
        <v>113.0</v>
      </c>
      <c r="E13" s="1">
        <v>60.0</v>
      </c>
      <c r="F13" s="7">
        <v>49.0</v>
      </c>
      <c r="G13" s="7">
        <v>25.0</v>
      </c>
      <c r="H13" s="7">
        <v>126.0</v>
      </c>
      <c r="I13" s="7">
        <v>64.0</v>
      </c>
      <c r="J13" s="1">
        <v>17.0</v>
      </c>
      <c r="K13" s="7">
        <v>39.0</v>
      </c>
      <c r="L13" s="7">
        <v>14.0</v>
      </c>
      <c r="N13" s="1">
        <v>41.0</v>
      </c>
      <c r="O13" s="28"/>
    </row>
    <row r="14">
      <c r="A14" s="25" t="s">
        <v>23</v>
      </c>
      <c r="B14" s="1">
        <v>20.0</v>
      </c>
      <c r="C14" s="7">
        <v>11.0</v>
      </c>
      <c r="D14" s="1">
        <v>26.0</v>
      </c>
      <c r="E14" s="1">
        <v>14.0</v>
      </c>
      <c r="F14" s="7">
        <v>10.0</v>
      </c>
      <c r="G14" s="7">
        <v>5.0</v>
      </c>
      <c r="H14" s="7">
        <v>57.0</v>
      </c>
      <c r="I14" s="7">
        <v>28.0</v>
      </c>
      <c r="J14" s="1">
        <v>14.0</v>
      </c>
      <c r="K14" s="7">
        <v>14.0</v>
      </c>
      <c r="L14" s="7">
        <v>10.0</v>
      </c>
      <c r="M14" s="1">
        <v>5.0</v>
      </c>
      <c r="N14" s="1">
        <v>28.0</v>
      </c>
      <c r="O14" s="24">
        <v>28.0</v>
      </c>
    </row>
    <row r="15">
      <c r="A15" s="25" t="s">
        <v>25</v>
      </c>
      <c r="B15" s="1">
        <v>47.0</v>
      </c>
      <c r="C15" s="7">
        <v>36.0</v>
      </c>
      <c r="D15" s="1">
        <v>235.0</v>
      </c>
      <c r="E15" s="1">
        <v>115.0</v>
      </c>
      <c r="F15" s="7">
        <v>62.0</v>
      </c>
      <c r="G15" s="7">
        <v>34.0</v>
      </c>
      <c r="H15" s="7">
        <v>193.0</v>
      </c>
      <c r="I15" s="7">
        <v>90.0</v>
      </c>
      <c r="K15" s="7">
        <v>56.0</v>
      </c>
      <c r="L15" s="31"/>
      <c r="N15" s="1">
        <v>55.0</v>
      </c>
      <c r="O15" s="28"/>
    </row>
    <row r="16">
      <c r="A16" s="25" t="s">
        <v>27</v>
      </c>
      <c r="B16" s="1">
        <v>25.0</v>
      </c>
      <c r="C16" s="7">
        <v>16.0</v>
      </c>
      <c r="D16" s="1">
        <v>141.0</v>
      </c>
      <c r="E16" s="1">
        <v>57.0</v>
      </c>
      <c r="F16" s="7">
        <v>42.0</v>
      </c>
      <c r="G16" s="7">
        <v>19.0</v>
      </c>
      <c r="H16" s="7">
        <v>117.0</v>
      </c>
      <c r="I16" s="7">
        <v>56.0</v>
      </c>
      <c r="K16" s="7">
        <v>23.0</v>
      </c>
      <c r="L16" s="7">
        <v>15.0</v>
      </c>
      <c r="N16" s="1">
        <v>27.0</v>
      </c>
      <c r="O16" s="28"/>
    </row>
    <row r="17">
      <c r="A17" s="25" t="s">
        <v>29</v>
      </c>
      <c r="B17" s="1">
        <v>9.0</v>
      </c>
      <c r="C17" s="7">
        <v>5.0</v>
      </c>
      <c r="D17" s="1">
        <v>17.0</v>
      </c>
      <c r="E17" s="1">
        <v>9.0</v>
      </c>
      <c r="F17" s="7">
        <v>3.0</v>
      </c>
      <c r="G17" s="7">
        <v>1.0</v>
      </c>
      <c r="H17" s="7">
        <v>63.0</v>
      </c>
      <c r="I17" s="7">
        <v>31.0</v>
      </c>
      <c r="J17" s="1">
        <v>2.0</v>
      </c>
      <c r="K17" s="7">
        <v>9.0</v>
      </c>
      <c r="L17" s="7">
        <v>1.0</v>
      </c>
      <c r="M17" s="7">
        <v>1.0</v>
      </c>
      <c r="N17" s="1">
        <v>25.0</v>
      </c>
      <c r="O17" s="24">
        <v>3.0</v>
      </c>
    </row>
    <row r="18">
      <c r="A18" s="33" t="s">
        <v>31</v>
      </c>
      <c r="B18" s="1">
        <v>33.0</v>
      </c>
      <c r="C18" s="7">
        <v>19.0</v>
      </c>
      <c r="D18" s="1">
        <v>194.0</v>
      </c>
      <c r="E18" s="1">
        <v>90.0</v>
      </c>
      <c r="F18" s="7">
        <v>44.0</v>
      </c>
      <c r="G18" s="7">
        <v>20.0</v>
      </c>
      <c r="H18" s="7">
        <v>116.0</v>
      </c>
      <c r="I18" s="7">
        <v>52.0</v>
      </c>
      <c r="K18" s="7">
        <v>32.0</v>
      </c>
      <c r="L18" s="7">
        <v>17.0</v>
      </c>
      <c r="M18" s="31"/>
      <c r="N18" s="1">
        <v>28.0</v>
      </c>
      <c r="O18" s="28"/>
    </row>
    <row r="19">
      <c r="A19" s="33" t="s">
        <v>33</v>
      </c>
      <c r="B19" s="1">
        <v>20.0</v>
      </c>
      <c r="C19" s="7">
        <v>17.0</v>
      </c>
      <c r="D19" s="1">
        <v>113.0</v>
      </c>
      <c r="E19" s="1">
        <v>54.0</v>
      </c>
      <c r="F19" s="7">
        <v>32.0</v>
      </c>
      <c r="G19" s="7">
        <v>18.0</v>
      </c>
      <c r="H19" s="7">
        <v>85.0</v>
      </c>
      <c r="I19" s="7">
        <v>40.0</v>
      </c>
      <c r="J19" s="1">
        <v>14.0</v>
      </c>
      <c r="K19" s="7">
        <v>22.0</v>
      </c>
      <c r="L19" s="7">
        <v>17.0</v>
      </c>
      <c r="M19" s="31"/>
      <c r="N19" s="1">
        <v>30.0</v>
      </c>
      <c r="O19" s="28"/>
    </row>
    <row r="20">
      <c r="A20" s="25" t="s">
        <v>35</v>
      </c>
      <c r="B20" s="1">
        <v>24.0</v>
      </c>
      <c r="C20" s="7">
        <v>9.0</v>
      </c>
      <c r="D20" s="1">
        <v>29.0</v>
      </c>
      <c r="E20" s="1">
        <v>15.0</v>
      </c>
      <c r="F20" s="7">
        <v>12.0</v>
      </c>
      <c r="G20" s="7">
        <v>6.0</v>
      </c>
      <c r="H20" s="7">
        <v>99.0</v>
      </c>
      <c r="I20" s="7">
        <v>49.0</v>
      </c>
      <c r="J20" s="1">
        <v>15.0</v>
      </c>
      <c r="K20" s="7">
        <v>15.0</v>
      </c>
      <c r="L20" s="7">
        <v>6.0</v>
      </c>
      <c r="M20" s="7">
        <v>6.0</v>
      </c>
      <c r="N20" s="1">
        <v>45.0</v>
      </c>
      <c r="O20" s="24">
        <v>42.0</v>
      </c>
    </row>
    <row r="21">
      <c r="A21" s="25" t="s">
        <v>37</v>
      </c>
      <c r="B21" s="1">
        <v>46.0</v>
      </c>
      <c r="C21" s="7">
        <v>35.0</v>
      </c>
      <c r="D21" s="1">
        <v>190.0</v>
      </c>
      <c r="E21" s="1">
        <v>91.0</v>
      </c>
      <c r="F21" s="7">
        <v>49.0</v>
      </c>
      <c r="G21" s="7">
        <v>22.0</v>
      </c>
      <c r="H21" s="7">
        <v>51.0</v>
      </c>
      <c r="I21" s="7">
        <v>27.0</v>
      </c>
      <c r="J21" s="1">
        <v>85.0</v>
      </c>
      <c r="K21" s="7">
        <v>87.0</v>
      </c>
      <c r="L21" s="7">
        <v>22.0</v>
      </c>
      <c r="M21" s="1">
        <v>21.0</v>
      </c>
      <c r="N21" s="1">
        <v>27.0</v>
      </c>
      <c r="O21" s="24">
        <v>26.0</v>
      </c>
    </row>
    <row r="22">
      <c r="A22" s="33" t="s">
        <v>39</v>
      </c>
      <c r="B22" s="1">
        <v>33.0</v>
      </c>
      <c r="C22" s="7">
        <v>13.0</v>
      </c>
      <c r="D22" s="1">
        <v>207.0</v>
      </c>
      <c r="E22" s="1">
        <v>98.0</v>
      </c>
      <c r="F22" s="7">
        <v>48.0</v>
      </c>
      <c r="G22" s="7">
        <v>23.0</v>
      </c>
      <c r="H22" s="7">
        <v>131.0</v>
      </c>
      <c r="I22" s="7">
        <v>66.0</v>
      </c>
      <c r="K22" s="7">
        <v>36.0</v>
      </c>
      <c r="L22" s="7">
        <v>19.0</v>
      </c>
      <c r="N22" s="1">
        <v>33.0</v>
      </c>
      <c r="O22" s="28"/>
    </row>
    <row r="23">
      <c r="A23" s="25" t="s">
        <v>41</v>
      </c>
      <c r="B23" s="1">
        <v>32.0</v>
      </c>
      <c r="C23" s="7">
        <v>31.0</v>
      </c>
      <c r="D23" s="1">
        <v>98.0</v>
      </c>
      <c r="E23" s="1">
        <v>46.0</v>
      </c>
      <c r="F23" s="7">
        <v>49.0</v>
      </c>
      <c r="G23" s="7">
        <v>26.0</v>
      </c>
      <c r="H23" s="7">
        <v>91.0</v>
      </c>
      <c r="I23" s="7">
        <v>48.0</v>
      </c>
      <c r="J23" s="1">
        <v>45.0</v>
      </c>
      <c r="K23" s="7">
        <v>45.0</v>
      </c>
      <c r="L23" s="7">
        <v>26.0</v>
      </c>
      <c r="M23" s="7">
        <v>26.0</v>
      </c>
      <c r="N23" s="1">
        <v>46.0</v>
      </c>
      <c r="O23" s="24">
        <v>45.0</v>
      </c>
    </row>
    <row r="24">
      <c r="A24" s="25" t="s">
        <v>43</v>
      </c>
      <c r="B24" s="1">
        <v>19.0</v>
      </c>
      <c r="C24" s="7">
        <v>20.0</v>
      </c>
      <c r="D24" s="1">
        <v>42.0</v>
      </c>
      <c r="E24" s="1">
        <v>20.0</v>
      </c>
      <c r="F24" s="7">
        <v>8.0</v>
      </c>
      <c r="G24" s="7">
        <v>3.0</v>
      </c>
      <c r="H24" s="7">
        <v>38.0</v>
      </c>
      <c r="I24" s="7">
        <v>16.0</v>
      </c>
      <c r="J24" s="1">
        <v>16.0</v>
      </c>
      <c r="K24" s="7">
        <v>20.0</v>
      </c>
      <c r="L24" s="7">
        <v>3.0</v>
      </c>
      <c r="M24" s="7">
        <v>3.0</v>
      </c>
      <c r="N24" s="1">
        <v>15.0</v>
      </c>
      <c r="O24" s="24">
        <v>14.0</v>
      </c>
    </row>
    <row r="25">
      <c r="A25" s="25" t="s">
        <v>45</v>
      </c>
      <c r="B25" s="1">
        <v>21.0</v>
      </c>
      <c r="C25" s="7">
        <v>13.0</v>
      </c>
      <c r="D25" s="1">
        <v>41.0</v>
      </c>
      <c r="E25" s="1">
        <v>21.0</v>
      </c>
      <c r="F25" s="7">
        <v>12.0</v>
      </c>
      <c r="G25" s="7">
        <v>5.0</v>
      </c>
      <c r="H25" s="7">
        <v>43.0</v>
      </c>
      <c r="I25" s="7">
        <v>22.0</v>
      </c>
      <c r="J25" s="1">
        <v>17.0</v>
      </c>
      <c r="K25" s="7">
        <v>20.0</v>
      </c>
      <c r="L25" s="7">
        <v>5.0</v>
      </c>
      <c r="M25" s="1">
        <v>4.0</v>
      </c>
      <c r="N25" s="1">
        <v>22.0</v>
      </c>
      <c r="O25" s="24">
        <v>17.0</v>
      </c>
    </row>
    <row r="26">
      <c r="A26" s="25" t="s">
        <v>47</v>
      </c>
      <c r="B26" s="1">
        <v>55.0</v>
      </c>
      <c r="C26" s="7">
        <v>50.0</v>
      </c>
      <c r="D26" s="1">
        <v>229.0</v>
      </c>
      <c r="E26" s="1">
        <v>111.0</v>
      </c>
      <c r="F26" s="7">
        <v>88.0</v>
      </c>
      <c r="G26" s="7">
        <v>49.0</v>
      </c>
      <c r="H26" s="7">
        <v>201.0</v>
      </c>
      <c r="I26" s="7">
        <v>93.0</v>
      </c>
      <c r="K26" s="31"/>
      <c r="L26" s="7">
        <v>35.0</v>
      </c>
      <c r="O26" s="28"/>
    </row>
    <row r="27">
      <c r="A27" s="25" t="s">
        <v>49</v>
      </c>
      <c r="B27" s="1">
        <v>16.0</v>
      </c>
      <c r="C27" s="7">
        <v>12.0</v>
      </c>
      <c r="D27" s="1">
        <v>146.0</v>
      </c>
      <c r="E27" s="1">
        <v>73.0</v>
      </c>
      <c r="F27" s="7">
        <v>30.0</v>
      </c>
      <c r="G27" s="7">
        <v>16.0</v>
      </c>
      <c r="H27" s="7">
        <v>69.0</v>
      </c>
      <c r="I27" s="7">
        <v>30.0</v>
      </c>
      <c r="J27" s="1">
        <v>12.0</v>
      </c>
      <c r="K27" s="7">
        <v>21.0</v>
      </c>
      <c r="L27" s="7">
        <v>13.0</v>
      </c>
      <c r="N27" s="1">
        <v>23.0</v>
      </c>
      <c r="O27" s="28"/>
    </row>
    <row r="28">
      <c r="A28" s="25" t="s">
        <v>51</v>
      </c>
      <c r="B28" s="1">
        <v>17.0</v>
      </c>
      <c r="C28" s="7">
        <v>15.0</v>
      </c>
      <c r="D28" s="1">
        <v>100.0</v>
      </c>
      <c r="E28" s="1">
        <v>47.0</v>
      </c>
      <c r="F28" s="7">
        <v>21.0</v>
      </c>
      <c r="G28" s="7">
        <v>10.0</v>
      </c>
      <c r="H28" s="7">
        <v>54.0</v>
      </c>
      <c r="I28" s="7">
        <v>26.0</v>
      </c>
      <c r="J28" s="1">
        <v>9.0</v>
      </c>
      <c r="K28" s="7">
        <v>18.0</v>
      </c>
      <c r="L28" s="7">
        <v>9.0</v>
      </c>
      <c r="N28" s="1">
        <v>22.0</v>
      </c>
      <c r="O28" s="28"/>
    </row>
    <row r="29">
      <c r="A29" s="25" t="s">
        <v>53</v>
      </c>
      <c r="B29" s="1">
        <v>20.0</v>
      </c>
      <c r="C29" s="7">
        <v>15.0</v>
      </c>
      <c r="D29" s="1">
        <v>106.0</v>
      </c>
      <c r="E29" s="1">
        <v>53.0</v>
      </c>
      <c r="F29" s="7">
        <v>13.0</v>
      </c>
      <c r="G29" s="7">
        <v>6.0</v>
      </c>
      <c r="H29" s="7">
        <v>85.0</v>
      </c>
      <c r="I29" s="7">
        <v>44.0</v>
      </c>
      <c r="J29" s="1">
        <v>5.0</v>
      </c>
      <c r="K29" s="7">
        <v>22.0</v>
      </c>
      <c r="L29" s="7">
        <v>6.0</v>
      </c>
      <c r="N29" s="1">
        <v>24.0</v>
      </c>
      <c r="O29" s="28"/>
    </row>
    <row r="30">
      <c r="A30" s="33" t="s">
        <v>55</v>
      </c>
      <c r="B30" s="1">
        <v>26.0</v>
      </c>
      <c r="C30" s="7">
        <v>16.0</v>
      </c>
      <c r="D30" s="1">
        <v>141.0</v>
      </c>
      <c r="E30" s="1">
        <v>70.0</v>
      </c>
      <c r="F30" s="7">
        <v>38.0</v>
      </c>
      <c r="G30" s="7">
        <v>19.0</v>
      </c>
      <c r="H30" s="7">
        <v>103.0</v>
      </c>
      <c r="I30" s="7">
        <v>48.0</v>
      </c>
      <c r="J30" s="1">
        <v>14.0</v>
      </c>
      <c r="K30" s="7">
        <v>29.0</v>
      </c>
      <c r="L30" s="7">
        <v>18.0</v>
      </c>
      <c r="N30" s="1">
        <v>32.0</v>
      </c>
      <c r="O30" s="28"/>
    </row>
    <row r="31">
      <c r="A31" s="25" t="s">
        <v>57</v>
      </c>
      <c r="B31" s="1">
        <v>42.0</v>
      </c>
      <c r="C31" s="7">
        <v>19.0</v>
      </c>
      <c r="D31" s="1">
        <v>84.0</v>
      </c>
      <c r="E31" s="1">
        <v>39.0</v>
      </c>
      <c r="F31" s="7">
        <v>44.0</v>
      </c>
      <c r="G31" s="7">
        <v>20.0</v>
      </c>
      <c r="H31" s="7">
        <v>149.0</v>
      </c>
      <c r="I31" s="7">
        <v>70.0</v>
      </c>
      <c r="J31" s="1">
        <v>39.0</v>
      </c>
      <c r="K31" s="7">
        <v>38.0</v>
      </c>
      <c r="L31" s="7">
        <v>20.0</v>
      </c>
      <c r="M31" s="7">
        <v>20.0</v>
      </c>
      <c r="N31" s="1">
        <v>66.0</v>
      </c>
      <c r="O31" s="24">
        <v>66.0</v>
      </c>
    </row>
    <row r="32">
      <c r="A32" s="33" t="s">
        <v>59</v>
      </c>
      <c r="B32" s="1">
        <v>39.0</v>
      </c>
      <c r="C32" s="7">
        <v>27.0</v>
      </c>
      <c r="D32" s="1">
        <v>216.0</v>
      </c>
      <c r="E32" s="1">
        <v>101.0</v>
      </c>
      <c r="F32" s="7">
        <v>64.0</v>
      </c>
      <c r="G32" s="7">
        <v>32.0</v>
      </c>
      <c r="H32" s="7">
        <v>161.0</v>
      </c>
      <c r="I32" s="7">
        <v>76.0</v>
      </c>
      <c r="K32" s="7">
        <v>40.0</v>
      </c>
      <c r="L32" s="7">
        <v>24.0</v>
      </c>
      <c r="M32" s="31"/>
      <c r="N32" s="1">
        <v>41.0</v>
      </c>
    </row>
    <row r="33">
      <c r="A33" s="6" t="s">
        <v>60</v>
      </c>
      <c r="B33" s="13">
        <v>31.0</v>
      </c>
      <c r="C33" s="17">
        <v>27.0</v>
      </c>
      <c r="D33" s="13">
        <v>39.0</v>
      </c>
      <c r="E33" s="13">
        <v>30.0</v>
      </c>
      <c r="F33" s="17">
        <v>36.0</v>
      </c>
      <c r="G33" s="17">
        <v>15.0</v>
      </c>
      <c r="H33" s="17">
        <v>134.0</v>
      </c>
      <c r="I33" s="17">
        <v>62.0</v>
      </c>
      <c r="J33" s="13">
        <v>17.0</v>
      </c>
      <c r="K33" s="17">
        <v>19.0</v>
      </c>
      <c r="L33" s="17">
        <v>15.0</v>
      </c>
      <c r="M33" s="17">
        <v>15.0</v>
      </c>
      <c r="N33" s="13">
        <v>56.0</v>
      </c>
      <c r="O33" s="13">
        <v>53.0</v>
      </c>
    </row>
    <row r="34">
      <c r="A34" s="23" t="s">
        <v>61</v>
      </c>
      <c r="B34" s="13">
        <v>19.0</v>
      </c>
      <c r="C34" s="17">
        <v>4.0</v>
      </c>
      <c r="D34" s="13">
        <v>86.0</v>
      </c>
      <c r="E34" s="13">
        <v>39.0</v>
      </c>
      <c r="F34" s="17">
        <v>26.0</v>
      </c>
      <c r="G34" s="17">
        <v>15.0</v>
      </c>
      <c r="H34" s="17">
        <v>90.0</v>
      </c>
      <c r="I34" s="17">
        <v>37.0</v>
      </c>
      <c r="J34" s="13">
        <v>9.0</v>
      </c>
      <c r="K34" s="17">
        <v>19.0</v>
      </c>
      <c r="L34" s="17">
        <v>7.0</v>
      </c>
      <c r="M34" s="17"/>
      <c r="N34" s="13">
        <v>21.0</v>
      </c>
      <c r="O34" s="34"/>
    </row>
    <row r="35">
      <c r="A35" s="23" t="s">
        <v>62</v>
      </c>
      <c r="B35" s="13">
        <v>5.0</v>
      </c>
      <c r="C35" s="17">
        <v>7.0</v>
      </c>
      <c r="D35" s="13">
        <v>26.0</v>
      </c>
      <c r="E35" s="13">
        <v>13.0</v>
      </c>
      <c r="F35" s="17">
        <v>5.0</v>
      </c>
      <c r="G35" s="17">
        <v>3.0</v>
      </c>
      <c r="H35" s="17">
        <v>11.0</v>
      </c>
      <c r="I35" s="17">
        <v>4.0</v>
      </c>
      <c r="J35" s="13">
        <v>2.0</v>
      </c>
      <c r="K35" s="17">
        <v>4.0</v>
      </c>
      <c r="L35" s="17">
        <v>3.0</v>
      </c>
      <c r="M35" s="17"/>
      <c r="N35" s="13">
        <v>4.0</v>
      </c>
      <c r="O35" s="34"/>
    </row>
    <row r="36">
      <c r="A36" s="23" t="s">
        <v>63</v>
      </c>
      <c r="B36" s="13">
        <v>10.0</v>
      </c>
      <c r="C36" s="17">
        <v>9.0</v>
      </c>
      <c r="D36" s="13">
        <v>60.0</v>
      </c>
      <c r="E36" s="13">
        <v>32.0</v>
      </c>
      <c r="F36" s="13">
        <v>10.0</v>
      </c>
      <c r="G36" s="13">
        <v>5.0</v>
      </c>
      <c r="H36" s="13">
        <v>46.0</v>
      </c>
      <c r="I36" s="13">
        <v>21.0</v>
      </c>
      <c r="J36" s="13"/>
      <c r="K36" s="17">
        <v>16.0</v>
      </c>
      <c r="L36" s="17">
        <v>4.0</v>
      </c>
      <c r="M36" s="32"/>
      <c r="N36" s="13">
        <v>15.0</v>
      </c>
      <c r="O36" s="34"/>
    </row>
    <row r="37">
      <c r="A37" s="23" t="s">
        <v>64</v>
      </c>
      <c r="B37" s="13">
        <v>7.0</v>
      </c>
      <c r="C37" s="17">
        <v>12.0</v>
      </c>
      <c r="D37" s="13">
        <v>33.0</v>
      </c>
      <c r="E37" s="13">
        <v>14.0</v>
      </c>
      <c r="F37" s="17">
        <v>12.0</v>
      </c>
      <c r="G37" s="17">
        <v>5.0</v>
      </c>
      <c r="H37" s="17">
        <v>28.0</v>
      </c>
      <c r="I37" s="17">
        <v>14.0</v>
      </c>
      <c r="J37" s="13">
        <v>14.0</v>
      </c>
      <c r="K37" s="17">
        <v>14.0</v>
      </c>
      <c r="L37" s="17">
        <v>5.0</v>
      </c>
      <c r="M37" s="17">
        <v>5.0</v>
      </c>
      <c r="N37" s="13">
        <v>11.0</v>
      </c>
      <c r="O37" s="13">
        <v>14.0</v>
      </c>
    </row>
    <row r="38">
      <c r="A38" s="23" t="s">
        <v>65</v>
      </c>
      <c r="B38" s="13">
        <v>33.0</v>
      </c>
      <c r="C38" s="17">
        <v>48.0</v>
      </c>
      <c r="D38" s="13">
        <v>192.0</v>
      </c>
      <c r="E38" s="13">
        <v>87.0</v>
      </c>
      <c r="F38" s="17">
        <v>31.0</v>
      </c>
      <c r="G38" s="17">
        <v>12.0</v>
      </c>
      <c r="H38" s="17">
        <v>156.0</v>
      </c>
      <c r="I38" s="17">
        <v>75.0</v>
      </c>
      <c r="J38" s="13"/>
      <c r="K38" s="32"/>
      <c r="L38" s="17">
        <v>10.0</v>
      </c>
      <c r="M38" s="32"/>
      <c r="N38" s="13"/>
      <c r="O38" s="34"/>
    </row>
    <row r="39">
      <c r="A39" s="23" t="s">
        <v>66</v>
      </c>
      <c r="B39" s="13">
        <v>5.0</v>
      </c>
      <c r="C39" s="17">
        <v>7.0</v>
      </c>
      <c r="D39" s="13">
        <v>34.0</v>
      </c>
      <c r="E39" s="13">
        <v>14.0</v>
      </c>
      <c r="F39" s="17">
        <v>31.0</v>
      </c>
      <c r="G39" s="17">
        <v>5.0</v>
      </c>
      <c r="H39" s="17">
        <v>20.0</v>
      </c>
      <c r="I39" s="17">
        <v>11.0</v>
      </c>
      <c r="J39" s="13">
        <v>7.0</v>
      </c>
      <c r="K39" s="17">
        <v>8.0</v>
      </c>
      <c r="L39" s="17">
        <v>5.0</v>
      </c>
      <c r="M39" s="17">
        <v>5.0</v>
      </c>
      <c r="N39" s="13">
        <v>11.0</v>
      </c>
      <c r="O39" s="13">
        <v>11.0</v>
      </c>
    </row>
    <row r="40">
      <c r="A40" s="23" t="s">
        <v>67</v>
      </c>
      <c r="B40" s="13">
        <v>29.0</v>
      </c>
      <c r="C40" s="17">
        <v>36.0</v>
      </c>
      <c r="D40" s="13">
        <v>182.0</v>
      </c>
      <c r="E40" s="13">
        <v>88.0</v>
      </c>
      <c r="F40" s="17">
        <v>47.0</v>
      </c>
      <c r="G40" s="17">
        <v>23.0</v>
      </c>
      <c r="H40" s="17">
        <v>143.0</v>
      </c>
      <c r="I40" s="17">
        <v>60.0</v>
      </c>
      <c r="J40" s="13"/>
      <c r="K40" s="32"/>
      <c r="L40" s="17">
        <v>17.0</v>
      </c>
      <c r="M40" s="32"/>
      <c r="N40" s="34"/>
      <c r="O40" s="34"/>
    </row>
    <row r="41">
      <c r="A41" s="23" t="s">
        <v>68</v>
      </c>
      <c r="B41" s="13">
        <v>9.0</v>
      </c>
      <c r="C41" s="17">
        <v>11.0</v>
      </c>
      <c r="D41" s="13">
        <v>43.0</v>
      </c>
      <c r="E41" s="13">
        <v>18.0</v>
      </c>
      <c r="F41" s="17">
        <v>9.0</v>
      </c>
      <c r="G41" s="17">
        <v>4.0</v>
      </c>
      <c r="H41" s="17">
        <v>43.0</v>
      </c>
      <c r="I41" s="17">
        <v>19.0</v>
      </c>
      <c r="J41" s="13">
        <v>19.0</v>
      </c>
      <c r="K41" s="17">
        <v>18.0</v>
      </c>
      <c r="L41" s="17">
        <v>5.0</v>
      </c>
      <c r="M41" s="17">
        <v>4.0</v>
      </c>
      <c r="N41" s="13">
        <v>18.0</v>
      </c>
      <c r="O41" s="13">
        <v>10.0</v>
      </c>
    </row>
    <row r="42">
      <c r="A42" s="23" t="s">
        <v>69</v>
      </c>
      <c r="B42" s="13">
        <v>10.0</v>
      </c>
      <c r="C42" s="17">
        <v>8.0</v>
      </c>
      <c r="D42" s="13">
        <v>96.0</v>
      </c>
      <c r="E42" s="13">
        <v>27.0</v>
      </c>
      <c r="F42" s="17">
        <v>24.0</v>
      </c>
      <c r="G42" s="17">
        <v>11.0</v>
      </c>
      <c r="H42" s="17">
        <v>34.0</v>
      </c>
      <c r="I42" s="17">
        <v>15.0</v>
      </c>
      <c r="J42" s="13">
        <v>4.0</v>
      </c>
      <c r="K42" s="32"/>
      <c r="L42" s="17">
        <v>5.0</v>
      </c>
      <c r="M42" s="17"/>
      <c r="N42" s="34"/>
      <c r="O42" s="34"/>
    </row>
    <row r="43">
      <c r="A43" s="23" t="s">
        <v>70</v>
      </c>
      <c r="B43" s="13">
        <v>5.0</v>
      </c>
      <c r="C43" s="17">
        <v>5.0</v>
      </c>
      <c r="D43" s="13">
        <v>22.0</v>
      </c>
      <c r="E43" s="13">
        <v>10.0</v>
      </c>
      <c r="F43" s="17">
        <v>6.0</v>
      </c>
      <c r="G43" s="17">
        <v>3.0</v>
      </c>
      <c r="H43" s="17">
        <v>16.0</v>
      </c>
      <c r="I43" s="17">
        <v>6.0</v>
      </c>
      <c r="J43" s="13">
        <v>9.0</v>
      </c>
      <c r="K43" s="17">
        <v>9.0</v>
      </c>
      <c r="L43" s="17">
        <v>3.0</v>
      </c>
      <c r="M43" s="17">
        <v>3.0</v>
      </c>
      <c r="N43" s="13">
        <v>6.0</v>
      </c>
      <c r="O43" s="13">
        <v>5.0</v>
      </c>
    </row>
    <row r="44">
      <c r="A44" s="23" t="s">
        <v>71</v>
      </c>
      <c r="B44" s="13">
        <v>4.0</v>
      </c>
      <c r="C44" s="17">
        <v>4.0</v>
      </c>
      <c r="D44" s="13">
        <v>18.0</v>
      </c>
      <c r="E44" s="13">
        <v>8.0</v>
      </c>
      <c r="F44" s="17">
        <v>10.0</v>
      </c>
      <c r="G44" s="17">
        <v>4.0</v>
      </c>
      <c r="H44" s="17">
        <v>18.0</v>
      </c>
      <c r="I44" s="17">
        <v>7.0</v>
      </c>
      <c r="J44" s="13">
        <v>5.0</v>
      </c>
      <c r="K44" s="17">
        <v>6.0</v>
      </c>
      <c r="L44" s="17">
        <v>4.0</v>
      </c>
      <c r="M44" s="17">
        <v>4.0</v>
      </c>
      <c r="N44" s="13">
        <v>7.0</v>
      </c>
      <c r="O44" s="13">
        <v>7.0</v>
      </c>
    </row>
    <row r="45">
      <c r="A45" s="23" t="s">
        <v>72</v>
      </c>
      <c r="B45" s="13">
        <v>7.0</v>
      </c>
      <c r="C45" s="17">
        <v>7.0</v>
      </c>
      <c r="D45" s="13">
        <v>32.0</v>
      </c>
      <c r="E45" s="13">
        <v>17.0</v>
      </c>
      <c r="F45" s="17">
        <v>10.0</v>
      </c>
      <c r="G45" s="17">
        <v>5.0</v>
      </c>
      <c r="H45" s="17">
        <v>20.0</v>
      </c>
      <c r="I45" s="17">
        <v>11.0</v>
      </c>
      <c r="J45" s="13">
        <v>13.0</v>
      </c>
      <c r="K45" s="17">
        <v>16.0</v>
      </c>
      <c r="L45" s="17">
        <v>5.0</v>
      </c>
      <c r="M45" s="17">
        <v>5.0</v>
      </c>
      <c r="N45" s="13">
        <v>11.0</v>
      </c>
      <c r="O45" s="13">
        <v>11.0</v>
      </c>
    </row>
    <row r="46">
      <c r="A46" s="35" t="s">
        <v>73</v>
      </c>
      <c r="B46" s="37">
        <f t="shared" ref="B46:O46" si="1">ROUND(AVERAGE(B4:B45),0)</f>
        <v>21</v>
      </c>
      <c r="C46" s="37">
        <f t="shared" si="1"/>
        <v>18</v>
      </c>
      <c r="D46" s="37">
        <f t="shared" si="1"/>
        <v>96</v>
      </c>
      <c r="E46" s="37">
        <f t="shared" si="1"/>
        <v>45</v>
      </c>
      <c r="F46" s="37">
        <f t="shared" si="1"/>
        <v>28</v>
      </c>
      <c r="G46" s="37">
        <f t="shared" si="1"/>
        <v>14</v>
      </c>
      <c r="H46" s="37">
        <f t="shared" si="1"/>
        <v>82</v>
      </c>
      <c r="I46" s="37">
        <f t="shared" si="1"/>
        <v>38</v>
      </c>
      <c r="J46" s="37">
        <f t="shared" si="1"/>
        <v>15</v>
      </c>
      <c r="K46" s="37">
        <f t="shared" si="1"/>
        <v>24</v>
      </c>
      <c r="L46" s="37">
        <f t="shared" si="1"/>
        <v>11</v>
      </c>
      <c r="M46" s="37">
        <f t="shared" si="1"/>
        <v>8</v>
      </c>
      <c r="N46" s="37">
        <f t="shared" si="1"/>
        <v>26</v>
      </c>
      <c r="O46" s="37">
        <f t="shared" si="1"/>
        <v>21</v>
      </c>
      <c r="P46" s="31"/>
    </row>
    <row r="47">
      <c r="A47" s="51" t="s">
        <v>93</v>
      </c>
      <c r="B47" s="31"/>
      <c r="C47" s="52">
        <f t="shared" ref="C47:O47" si="2">MIN(C4:C45)</f>
        <v>4</v>
      </c>
      <c r="D47" s="52">
        <f t="shared" si="2"/>
        <v>9</v>
      </c>
      <c r="E47" s="52">
        <f t="shared" si="2"/>
        <v>3</v>
      </c>
      <c r="F47" s="52">
        <f t="shared" si="2"/>
        <v>3</v>
      </c>
      <c r="G47" s="52">
        <f t="shared" si="2"/>
        <v>1</v>
      </c>
      <c r="H47" s="52">
        <f t="shared" si="2"/>
        <v>11</v>
      </c>
      <c r="I47" s="52">
        <f t="shared" si="2"/>
        <v>4</v>
      </c>
      <c r="J47" s="52">
        <f t="shared" si="2"/>
        <v>2</v>
      </c>
      <c r="K47" s="52">
        <f t="shared" si="2"/>
        <v>3</v>
      </c>
      <c r="L47" s="52">
        <f t="shared" si="2"/>
        <v>1</v>
      </c>
      <c r="M47" s="52">
        <f t="shared" si="2"/>
        <v>1</v>
      </c>
      <c r="N47" s="52">
        <f t="shared" si="2"/>
        <v>4</v>
      </c>
      <c r="O47" s="52">
        <f t="shared" si="2"/>
        <v>3</v>
      </c>
      <c r="P47" s="31"/>
    </row>
    <row r="48">
      <c r="A48" s="51" t="s">
        <v>94</v>
      </c>
      <c r="B48" s="31"/>
      <c r="C48" s="52">
        <f t="shared" ref="C48:O48" si="3">MAX(C5:C46)</f>
        <v>50</v>
      </c>
      <c r="D48" s="52">
        <f t="shared" si="3"/>
        <v>247</v>
      </c>
      <c r="E48" s="52">
        <f t="shared" si="3"/>
        <v>115</v>
      </c>
      <c r="F48" s="52">
        <f t="shared" si="3"/>
        <v>88</v>
      </c>
      <c r="G48" s="52">
        <f t="shared" si="3"/>
        <v>49</v>
      </c>
      <c r="H48" s="52">
        <f t="shared" si="3"/>
        <v>201</v>
      </c>
      <c r="I48" s="52">
        <f t="shared" si="3"/>
        <v>93</v>
      </c>
      <c r="J48" s="52">
        <f t="shared" si="3"/>
        <v>85</v>
      </c>
      <c r="K48" s="52">
        <f t="shared" si="3"/>
        <v>87</v>
      </c>
      <c r="L48" s="52">
        <f t="shared" si="3"/>
        <v>35</v>
      </c>
      <c r="M48" s="52">
        <f t="shared" si="3"/>
        <v>26</v>
      </c>
      <c r="N48" s="52">
        <f t="shared" si="3"/>
        <v>66</v>
      </c>
      <c r="O48" s="52">
        <f t="shared" si="3"/>
        <v>66</v>
      </c>
      <c r="P48" s="31"/>
    </row>
    <row r="49">
      <c r="A49" s="40" t="s">
        <v>74</v>
      </c>
      <c r="B49" s="37">
        <f t="shared" ref="B49:O49" si="4">ROUND(AVERAGE(B4:B10,B33:B45),0)</f>
        <v>13</v>
      </c>
      <c r="C49" s="37">
        <f t="shared" si="4"/>
        <v>14</v>
      </c>
      <c r="D49" s="37">
        <f t="shared" si="4"/>
        <v>56</v>
      </c>
      <c r="E49" s="37">
        <f t="shared" si="4"/>
        <v>26</v>
      </c>
      <c r="F49" s="37">
        <f t="shared" si="4"/>
        <v>17</v>
      </c>
      <c r="G49" s="37">
        <f t="shared" si="4"/>
        <v>8</v>
      </c>
      <c r="H49" s="37">
        <f t="shared" si="4"/>
        <v>55</v>
      </c>
      <c r="I49" s="37">
        <f t="shared" si="4"/>
        <v>24</v>
      </c>
      <c r="J49" s="37">
        <f t="shared" si="4"/>
        <v>10</v>
      </c>
      <c r="K49" s="37">
        <f t="shared" si="4"/>
        <v>13</v>
      </c>
      <c r="L49" s="37">
        <f t="shared" si="4"/>
        <v>6</v>
      </c>
      <c r="M49" s="37">
        <f t="shared" si="4"/>
        <v>6</v>
      </c>
      <c r="N49" s="37">
        <f t="shared" si="4"/>
        <v>16</v>
      </c>
      <c r="O49" s="37">
        <f t="shared" si="4"/>
        <v>15</v>
      </c>
      <c r="P49" s="31"/>
      <c r="Q49" s="46"/>
      <c r="R49" s="46"/>
      <c r="S49" s="46"/>
      <c r="T49" s="46"/>
      <c r="U49" s="46"/>
      <c r="V49" s="46"/>
      <c r="W49" s="46"/>
    </row>
    <row r="50">
      <c r="A50" s="51" t="s">
        <v>93</v>
      </c>
      <c r="B50" s="31">
        <f t="shared" ref="B50:O50" si="5">MIN(B5:B11,B34:B46)</f>
        <v>4</v>
      </c>
      <c r="C50" s="31">
        <f t="shared" si="5"/>
        <v>4</v>
      </c>
      <c r="D50" s="31">
        <f t="shared" si="5"/>
        <v>9</v>
      </c>
      <c r="E50" s="31">
        <f t="shared" si="5"/>
        <v>3</v>
      </c>
      <c r="F50" s="31">
        <f t="shared" si="5"/>
        <v>3</v>
      </c>
      <c r="G50" s="31">
        <f t="shared" si="5"/>
        <v>1</v>
      </c>
      <c r="H50" s="31">
        <f t="shared" si="5"/>
        <v>11</v>
      </c>
      <c r="I50" s="31">
        <f t="shared" si="5"/>
        <v>4</v>
      </c>
      <c r="J50" s="31">
        <f t="shared" si="5"/>
        <v>2</v>
      </c>
      <c r="K50" s="31">
        <f t="shared" si="5"/>
        <v>3</v>
      </c>
      <c r="L50" s="31">
        <f t="shared" si="5"/>
        <v>1</v>
      </c>
      <c r="M50" s="31">
        <f t="shared" si="5"/>
        <v>1</v>
      </c>
      <c r="N50" s="31">
        <f t="shared" si="5"/>
        <v>4</v>
      </c>
      <c r="O50" s="31">
        <f t="shared" si="5"/>
        <v>3</v>
      </c>
      <c r="P50" s="31"/>
      <c r="Q50" s="46"/>
      <c r="R50" s="46"/>
      <c r="S50" s="46"/>
      <c r="T50" s="46"/>
      <c r="U50" s="46"/>
      <c r="V50" s="46"/>
      <c r="W50" s="46"/>
    </row>
    <row r="51">
      <c r="A51" s="51" t="s">
        <v>94</v>
      </c>
      <c r="B51" s="31">
        <f t="shared" ref="B51:O51" si="6">MAX(B6:B12,B35:B47)</f>
        <v>43</v>
      </c>
      <c r="C51" s="31">
        <f t="shared" si="6"/>
        <v>48</v>
      </c>
      <c r="D51" s="31">
        <f t="shared" si="6"/>
        <v>247</v>
      </c>
      <c r="E51" s="31">
        <f t="shared" si="6"/>
        <v>106</v>
      </c>
      <c r="F51" s="31">
        <f t="shared" si="6"/>
        <v>65</v>
      </c>
      <c r="G51" s="31">
        <f t="shared" si="6"/>
        <v>33</v>
      </c>
      <c r="H51" s="31">
        <f t="shared" si="6"/>
        <v>182</v>
      </c>
      <c r="I51" s="31">
        <f t="shared" si="6"/>
        <v>86</v>
      </c>
      <c r="J51" s="31">
        <f t="shared" si="6"/>
        <v>19</v>
      </c>
      <c r="K51" s="31">
        <f t="shared" si="6"/>
        <v>55</v>
      </c>
      <c r="L51" s="31">
        <f t="shared" si="6"/>
        <v>24</v>
      </c>
      <c r="M51" s="31">
        <f t="shared" si="6"/>
        <v>8</v>
      </c>
      <c r="N51" s="31">
        <f t="shared" si="6"/>
        <v>55</v>
      </c>
      <c r="O51" s="31">
        <f t="shared" si="6"/>
        <v>21</v>
      </c>
      <c r="P51" s="31"/>
      <c r="Q51" s="46"/>
      <c r="R51" s="46"/>
      <c r="S51" s="46"/>
      <c r="T51" s="46"/>
      <c r="U51" s="46"/>
      <c r="V51" s="46"/>
      <c r="W51" s="46"/>
    </row>
    <row r="52">
      <c r="A52" s="40" t="s">
        <v>75</v>
      </c>
      <c r="B52" s="37">
        <f t="shared" ref="B52:O52" si="7">ROUND(AVERAGE(B11:B32),0)</f>
        <v>30</v>
      </c>
      <c r="C52" s="37">
        <f t="shared" si="7"/>
        <v>21</v>
      </c>
      <c r="D52" s="37">
        <f t="shared" si="7"/>
        <v>132</v>
      </c>
      <c r="E52" s="37">
        <f t="shared" si="7"/>
        <v>63</v>
      </c>
      <c r="F52" s="37">
        <f t="shared" si="7"/>
        <v>38</v>
      </c>
      <c r="G52" s="37">
        <f t="shared" si="7"/>
        <v>19</v>
      </c>
      <c r="H52" s="37">
        <f t="shared" si="7"/>
        <v>106</v>
      </c>
      <c r="I52" s="37">
        <f t="shared" si="7"/>
        <v>51</v>
      </c>
      <c r="J52" s="37">
        <f t="shared" si="7"/>
        <v>22</v>
      </c>
      <c r="K52" s="37">
        <f t="shared" si="7"/>
        <v>32</v>
      </c>
      <c r="L52" s="37">
        <f t="shared" si="7"/>
        <v>15</v>
      </c>
      <c r="M52" s="37">
        <f t="shared" si="7"/>
        <v>11</v>
      </c>
      <c r="N52" s="37">
        <f t="shared" si="7"/>
        <v>34</v>
      </c>
      <c r="O52" s="37">
        <f t="shared" si="7"/>
        <v>30</v>
      </c>
      <c r="P52" s="31"/>
    </row>
    <row r="53">
      <c r="A53" s="51" t="s">
        <v>93</v>
      </c>
      <c r="B53" s="31">
        <f t="shared" ref="B53:O53" si="8">Min(B12:B33)</f>
        <v>9</v>
      </c>
      <c r="C53" s="31">
        <f t="shared" si="8"/>
        <v>5</v>
      </c>
      <c r="D53" s="31">
        <f t="shared" si="8"/>
        <v>17</v>
      </c>
      <c r="E53" s="31">
        <f t="shared" si="8"/>
        <v>9</v>
      </c>
      <c r="F53" s="31">
        <f t="shared" si="8"/>
        <v>3</v>
      </c>
      <c r="G53" s="31">
        <f t="shared" si="8"/>
        <v>1</v>
      </c>
      <c r="H53" s="31">
        <f t="shared" si="8"/>
        <v>38</v>
      </c>
      <c r="I53" s="31">
        <f t="shared" si="8"/>
        <v>16</v>
      </c>
      <c r="J53" s="31">
        <f t="shared" si="8"/>
        <v>2</v>
      </c>
      <c r="K53" s="31">
        <f t="shared" si="8"/>
        <v>9</v>
      </c>
      <c r="L53" s="31">
        <f t="shared" si="8"/>
        <v>1</v>
      </c>
      <c r="M53" s="31">
        <f t="shared" si="8"/>
        <v>1</v>
      </c>
      <c r="N53" s="31">
        <f t="shared" si="8"/>
        <v>15</v>
      </c>
      <c r="O53" s="31">
        <f t="shared" si="8"/>
        <v>3</v>
      </c>
      <c r="P53" s="31"/>
    </row>
    <row r="54">
      <c r="A54" s="51" t="s">
        <v>94</v>
      </c>
      <c r="B54" s="31">
        <f t="shared" ref="B54:O54" si="9">MAX(B13:B34)</f>
        <v>55</v>
      </c>
      <c r="C54" s="31">
        <f t="shared" si="9"/>
        <v>50</v>
      </c>
      <c r="D54" s="31">
        <f t="shared" si="9"/>
        <v>235</v>
      </c>
      <c r="E54" s="31">
        <f t="shared" si="9"/>
        <v>115</v>
      </c>
      <c r="F54" s="31">
        <f t="shared" si="9"/>
        <v>88</v>
      </c>
      <c r="G54" s="31">
        <f t="shared" si="9"/>
        <v>49</v>
      </c>
      <c r="H54" s="31">
        <f t="shared" si="9"/>
        <v>201</v>
      </c>
      <c r="I54" s="31">
        <f t="shared" si="9"/>
        <v>93</v>
      </c>
      <c r="J54" s="31">
        <f t="shared" si="9"/>
        <v>85</v>
      </c>
      <c r="K54" s="31">
        <f t="shared" si="9"/>
        <v>87</v>
      </c>
      <c r="L54" s="31">
        <f t="shared" si="9"/>
        <v>35</v>
      </c>
      <c r="M54" s="31">
        <f t="shared" si="9"/>
        <v>26</v>
      </c>
      <c r="N54" s="31">
        <f t="shared" si="9"/>
        <v>66</v>
      </c>
      <c r="O54" s="31">
        <f t="shared" si="9"/>
        <v>66</v>
      </c>
      <c r="P54" s="31"/>
    </row>
    <row r="55">
      <c r="A55" s="40" t="s">
        <v>76</v>
      </c>
      <c r="B55" s="37">
        <f t="shared" ref="B55:O55" si="10">ROUND(AVERAGE(B4,B8:B10,B14,B17,B20,B24:B25),0)</f>
        <v>14</v>
      </c>
      <c r="C55" s="37">
        <f t="shared" si="10"/>
        <v>13</v>
      </c>
      <c r="D55" s="37">
        <f t="shared" si="10"/>
        <v>23</v>
      </c>
      <c r="E55" s="37">
        <f t="shared" si="10"/>
        <v>12</v>
      </c>
      <c r="F55" s="37">
        <f t="shared" si="10"/>
        <v>8</v>
      </c>
      <c r="G55" s="37">
        <f t="shared" si="10"/>
        <v>4</v>
      </c>
      <c r="H55" s="37">
        <f t="shared" si="10"/>
        <v>48</v>
      </c>
      <c r="I55" s="37">
        <f t="shared" si="10"/>
        <v>23</v>
      </c>
      <c r="J55" s="37">
        <f t="shared" si="10"/>
        <v>10</v>
      </c>
      <c r="K55" s="37">
        <f t="shared" si="10"/>
        <v>12</v>
      </c>
      <c r="L55" s="37">
        <f t="shared" si="10"/>
        <v>4</v>
      </c>
      <c r="M55" s="37">
        <f t="shared" si="10"/>
        <v>4</v>
      </c>
      <c r="N55" s="37">
        <f t="shared" si="10"/>
        <v>21</v>
      </c>
      <c r="O55" s="37">
        <f t="shared" si="10"/>
        <v>16</v>
      </c>
      <c r="P55" s="31"/>
    </row>
    <row r="56">
      <c r="A56" s="51" t="s">
        <v>93</v>
      </c>
      <c r="B56" s="31">
        <f t="shared" ref="B56:E56" si="11">Min(B5,B9:B11,B15,B18,B21,B25:B26)</f>
        <v>8</v>
      </c>
      <c r="C56" s="31">
        <f t="shared" si="11"/>
        <v>12</v>
      </c>
      <c r="D56" s="31">
        <f t="shared" si="11"/>
        <v>10</v>
      </c>
      <c r="E56" s="31">
        <f t="shared" si="11"/>
        <v>6</v>
      </c>
      <c r="F56" s="31">
        <f t="shared" ref="F56:O56" si="12">Min(F4,F8:F10,F14,F17,F20,F24:F25)</f>
        <v>3</v>
      </c>
      <c r="G56" s="31">
        <f t="shared" si="12"/>
        <v>1</v>
      </c>
      <c r="H56" s="31">
        <f t="shared" si="12"/>
        <v>24</v>
      </c>
      <c r="I56" s="31">
        <f t="shared" si="12"/>
        <v>8</v>
      </c>
      <c r="J56" s="31">
        <f t="shared" si="12"/>
        <v>2</v>
      </c>
      <c r="K56" s="31">
        <f t="shared" si="12"/>
        <v>3</v>
      </c>
      <c r="L56" s="31">
        <f t="shared" si="12"/>
        <v>1</v>
      </c>
      <c r="M56" s="31">
        <f t="shared" si="12"/>
        <v>1</v>
      </c>
      <c r="N56" s="31">
        <f t="shared" si="12"/>
        <v>8</v>
      </c>
      <c r="O56" s="31">
        <f t="shared" si="12"/>
        <v>3</v>
      </c>
      <c r="P56" s="31"/>
    </row>
    <row r="57">
      <c r="A57" s="51" t="s">
        <v>94</v>
      </c>
      <c r="B57" s="31">
        <f t="shared" ref="B57:E57" si="13">Max(B6,B10:B12,B16,B19,B22,B26:B27)</f>
        <v>55</v>
      </c>
      <c r="C57" s="31">
        <f t="shared" si="13"/>
        <v>50</v>
      </c>
      <c r="D57" s="31">
        <f t="shared" si="13"/>
        <v>247</v>
      </c>
      <c r="E57" s="31">
        <f t="shared" si="13"/>
        <v>111</v>
      </c>
      <c r="F57" s="31">
        <f t="shared" ref="F57:O57" si="14">Max(F4,F8:F10,F14,F17,F20,F24:F25)</f>
        <v>12</v>
      </c>
      <c r="G57" s="31">
        <f t="shared" si="14"/>
        <v>6</v>
      </c>
      <c r="H57" s="31">
        <f t="shared" si="14"/>
        <v>99</v>
      </c>
      <c r="I57" s="31">
        <f t="shared" si="14"/>
        <v>49</v>
      </c>
      <c r="J57" s="31">
        <f t="shared" si="14"/>
        <v>17</v>
      </c>
      <c r="K57" s="31">
        <f t="shared" si="14"/>
        <v>20</v>
      </c>
      <c r="L57" s="31">
        <f t="shared" si="14"/>
        <v>10</v>
      </c>
      <c r="M57" s="31">
        <f t="shared" si="14"/>
        <v>6</v>
      </c>
      <c r="N57" s="31">
        <f t="shared" si="14"/>
        <v>45</v>
      </c>
      <c r="O57" s="31">
        <f t="shared" si="14"/>
        <v>42</v>
      </c>
      <c r="P57" s="31"/>
    </row>
    <row r="58">
      <c r="A58" s="40" t="s">
        <v>77</v>
      </c>
      <c r="B58" s="37">
        <f t="shared" ref="B58:O58" si="15">ROUND(AVERAGE(B5:B6,B21,B23,B31,B33),0)</f>
        <v>30</v>
      </c>
      <c r="C58" s="37">
        <f t="shared" si="15"/>
        <v>23</v>
      </c>
      <c r="D58" s="37">
        <f t="shared" si="15"/>
        <v>85</v>
      </c>
      <c r="E58" s="37">
        <f t="shared" si="15"/>
        <v>42</v>
      </c>
      <c r="F58" s="37">
        <f t="shared" si="15"/>
        <v>36</v>
      </c>
      <c r="G58" s="37">
        <f t="shared" si="15"/>
        <v>17</v>
      </c>
      <c r="H58" s="37">
        <f t="shared" si="15"/>
        <v>87</v>
      </c>
      <c r="I58" s="37">
        <f t="shared" si="15"/>
        <v>42</v>
      </c>
      <c r="J58" s="37">
        <f t="shared" si="15"/>
        <v>38</v>
      </c>
      <c r="K58" s="37">
        <f t="shared" si="15"/>
        <v>39</v>
      </c>
      <c r="L58" s="37">
        <f t="shared" si="15"/>
        <v>17</v>
      </c>
      <c r="M58" s="37">
        <f t="shared" si="15"/>
        <v>17</v>
      </c>
      <c r="N58" s="37">
        <f t="shared" si="15"/>
        <v>40</v>
      </c>
      <c r="O58" s="37">
        <f t="shared" si="15"/>
        <v>38</v>
      </c>
      <c r="P58" s="31"/>
    </row>
    <row r="59">
      <c r="A59" s="51" t="s">
        <v>93</v>
      </c>
      <c r="B59" s="31">
        <f t="shared" ref="B59:C59" si="16">MIN(B6:B7,B22,B24,B32,B34)</f>
        <v>10</v>
      </c>
      <c r="C59" s="31">
        <f t="shared" si="16"/>
        <v>4</v>
      </c>
      <c r="D59" s="31">
        <f>MIN(D5:D6,D21,D23,D31,D33)</f>
        <v>18</v>
      </c>
      <c r="E59" s="31">
        <f t="shared" ref="E59:O59" si="17">MIN(E6:E7,E22,E24,E32,E34)</f>
        <v>8</v>
      </c>
      <c r="F59" s="31">
        <f t="shared" si="17"/>
        <v>6</v>
      </c>
      <c r="G59" s="31">
        <f t="shared" si="17"/>
        <v>3</v>
      </c>
      <c r="H59" s="31">
        <f t="shared" si="17"/>
        <v>35</v>
      </c>
      <c r="I59" s="31">
        <f t="shared" si="17"/>
        <v>15</v>
      </c>
      <c r="J59" s="31">
        <f t="shared" si="17"/>
        <v>7</v>
      </c>
      <c r="K59" s="31">
        <f t="shared" si="17"/>
        <v>8</v>
      </c>
      <c r="L59" s="31">
        <f t="shared" si="17"/>
        <v>3</v>
      </c>
      <c r="M59" s="31">
        <f t="shared" si="17"/>
        <v>3</v>
      </c>
      <c r="N59" s="31">
        <f t="shared" si="17"/>
        <v>14</v>
      </c>
      <c r="O59" s="31">
        <f t="shared" si="17"/>
        <v>14</v>
      </c>
    </row>
    <row r="60">
      <c r="A60" s="51" t="s">
        <v>94</v>
      </c>
      <c r="B60" s="31">
        <f t="shared" ref="B60:C60" si="18">MAX(B7:B8,B23,B25,B33,B35)</f>
        <v>32</v>
      </c>
      <c r="C60" s="31">
        <f t="shared" si="18"/>
        <v>31</v>
      </c>
      <c r="D60" s="31">
        <f>MAX(D5:D6,D21,D23,D31,D33)</f>
        <v>190</v>
      </c>
      <c r="E60" s="31">
        <f t="shared" ref="E60:O60" si="19">MAX(E7:E8,E23,E25,E33,E35)</f>
        <v>46</v>
      </c>
      <c r="F60" s="31">
        <f t="shared" si="19"/>
        <v>49</v>
      </c>
      <c r="G60" s="31">
        <f t="shared" si="19"/>
        <v>26</v>
      </c>
      <c r="H60" s="31">
        <f t="shared" si="19"/>
        <v>134</v>
      </c>
      <c r="I60" s="31">
        <f t="shared" si="19"/>
        <v>62</v>
      </c>
      <c r="J60" s="31">
        <f t="shared" si="19"/>
        <v>45</v>
      </c>
      <c r="K60" s="31">
        <f t="shared" si="19"/>
        <v>45</v>
      </c>
      <c r="L60" s="31">
        <f t="shared" si="19"/>
        <v>26</v>
      </c>
      <c r="M60" s="31">
        <f t="shared" si="19"/>
        <v>26</v>
      </c>
      <c r="N60" s="31">
        <f t="shared" si="19"/>
        <v>56</v>
      </c>
      <c r="O60" s="31">
        <f t="shared" si="19"/>
        <v>53</v>
      </c>
    </row>
    <row r="61">
      <c r="A61" s="45"/>
      <c r="B61" s="45"/>
      <c r="C61" s="45"/>
    </row>
    <row r="62">
      <c r="A62" s="45"/>
      <c r="B62" s="45"/>
      <c r="C62" s="45"/>
    </row>
    <row r="63">
      <c r="A63" s="45"/>
      <c r="B63" s="53" t="s">
        <v>95</v>
      </c>
    </row>
    <row r="64">
      <c r="A64" s="45"/>
      <c r="B64" s="53" t="s">
        <v>96</v>
      </c>
    </row>
    <row r="65">
      <c r="A65" s="45"/>
      <c r="B65" s="45"/>
      <c r="C65" s="45"/>
    </row>
    <row r="66">
      <c r="A66" s="45"/>
      <c r="B66" s="45"/>
      <c r="C66" s="45"/>
    </row>
    <row r="67">
      <c r="A67" s="45"/>
      <c r="B67" s="45"/>
      <c r="C67" s="45"/>
    </row>
    <row r="68">
      <c r="A68" s="45"/>
      <c r="B68" s="45"/>
      <c r="C68" s="45"/>
    </row>
    <row r="69">
      <c r="A69" s="45"/>
      <c r="B69" s="45"/>
      <c r="C69" s="45"/>
    </row>
    <row r="70">
      <c r="A70" s="45"/>
      <c r="B70" s="45"/>
      <c r="C70" s="45"/>
    </row>
    <row r="71">
      <c r="A71" s="45"/>
      <c r="B71" s="45"/>
      <c r="C71" s="45"/>
    </row>
    <row r="72">
      <c r="A72" s="45"/>
      <c r="B72" s="45"/>
      <c r="C72" s="45"/>
    </row>
    <row r="73">
      <c r="A73" s="45"/>
      <c r="B73" s="45"/>
      <c r="C73" s="45"/>
    </row>
    <row r="74">
      <c r="A74" s="45"/>
      <c r="B74" s="45"/>
      <c r="C74" s="45"/>
    </row>
    <row r="75">
      <c r="A75" s="45"/>
      <c r="B75" s="45"/>
      <c r="C75" s="45"/>
    </row>
    <row r="76">
      <c r="A76" s="45"/>
      <c r="B76" s="45"/>
      <c r="C76" s="45"/>
    </row>
    <row r="77">
      <c r="A77" s="45"/>
      <c r="B77" s="45"/>
      <c r="C77" s="45"/>
    </row>
    <row r="78">
      <c r="A78" s="45"/>
      <c r="B78" s="45"/>
      <c r="C78" s="45"/>
    </row>
    <row r="79">
      <c r="A79" s="45"/>
      <c r="B79" s="45"/>
      <c r="C79" s="45"/>
    </row>
    <row r="80">
      <c r="A80" s="45"/>
      <c r="B80" s="45"/>
      <c r="C80" s="45"/>
    </row>
    <row r="81">
      <c r="A81" s="45"/>
      <c r="B81" s="45"/>
      <c r="C81" s="45"/>
    </row>
    <row r="82">
      <c r="A82" s="45"/>
      <c r="B82" s="45"/>
      <c r="C82" s="45"/>
    </row>
    <row r="83">
      <c r="A83" s="45"/>
      <c r="B83" s="45"/>
      <c r="C83" s="45"/>
    </row>
    <row r="84">
      <c r="A84" s="45"/>
      <c r="B84" s="45"/>
      <c r="C84" s="45"/>
    </row>
    <row r="85">
      <c r="A85" s="45"/>
      <c r="B85" s="45"/>
      <c r="C85" s="45"/>
    </row>
    <row r="86">
      <c r="A86" s="45"/>
      <c r="B86" s="45"/>
      <c r="C86" s="45"/>
    </row>
    <row r="87">
      <c r="A87" s="45"/>
      <c r="B87" s="45"/>
      <c r="C87" s="45"/>
    </row>
    <row r="88">
      <c r="A88" s="45"/>
      <c r="B88" s="45"/>
      <c r="C88" s="45"/>
    </row>
    <row r="89">
      <c r="A89" s="45"/>
      <c r="B89" s="45"/>
      <c r="C89" s="45"/>
    </row>
    <row r="90">
      <c r="A90" s="45"/>
      <c r="B90" s="45"/>
      <c r="C90" s="45"/>
    </row>
    <row r="91">
      <c r="A91" s="45"/>
      <c r="B91" s="45"/>
      <c r="C91" s="45"/>
    </row>
  </sheetData>
  <mergeCells count="4">
    <mergeCell ref="B2:C2"/>
    <mergeCell ref="D2:O2"/>
    <mergeCell ref="B63:F63"/>
    <mergeCell ref="B64:F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4" width="7.0"/>
    <col customWidth="1" min="5" max="5" width="7.75"/>
    <col customWidth="1" min="6" max="6" width="9.75"/>
    <col customWidth="1" min="7" max="7" width="7.75"/>
    <col customWidth="1" min="8" max="8" width="10.13"/>
    <col customWidth="1" min="14" max="14" width="14.25"/>
    <col customWidth="1" min="15" max="15" width="15.63"/>
  </cols>
  <sheetData>
    <row r="1">
      <c r="A1" s="1" t="s">
        <v>80</v>
      </c>
    </row>
    <row r="2">
      <c r="A2" s="47"/>
      <c r="B2" s="48"/>
      <c r="C2" s="48" t="s">
        <v>82</v>
      </c>
      <c r="O2" s="47"/>
      <c r="P2" s="47"/>
      <c r="Q2" s="47"/>
      <c r="R2" s="47"/>
      <c r="S2" s="47"/>
      <c r="T2" s="47"/>
      <c r="U2" s="47"/>
      <c r="V2" s="47"/>
    </row>
    <row r="3">
      <c r="A3" s="2" t="s">
        <v>1</v>
      </c>
      <c r="B3" s="49" t="s">
        <v>97</v>
      </c>
      <c r="C3" s="50" t="s">
        <v>5</v>
      </c>
      <c r="D3" s="50" t="s">
        <v>84</v>
      </c>
      <c r="E3" s="49" t="s">
        <v>6</v>
      </c>
      <c r="F3" s="49" t="s">
        <v>85</v>
      </c>
      <c r="G3" s="49" t="s">
        <v>7</v>
      </c>
      <c r="H3" s="49" t="s">
        <v>86</v>
      </c>
      <c r="I3" s="50" t="s">
        <v>87</v>
      </c>
      <c r="J3" s="49" t="s">
        <v>88</v>
      </c>
      <c r="K3" s="50" t="s">
        <v>89</v>
      </c>
      <c r="L3" s="49" t="s">
        <v>90</v>
      </c>
      <c r="M3" s="50" t="s">
        <v>91</v>
      </c>
      <c r="N3" s="49" t="s">
        <v>92</v>
      </c>
    </row>
    <row r="4">
      <c r="A4" s="6" t="s">
        <v>8</v>
      </c>
      <c r="B4" s="17">
        <v>3.14</v>
      </c>
      <c r="C4" s="13">
        <v>3.14</v>
      </c>
      <c r="D4" s="13">
        <v>3.45</v>
      </c>
      <c r="E4" s="17">
        <v>7.7</v>
      </c>
      <c r="F4" s="17">
        <v>7.0</v>
      </c>
      <c r="G4" s="17">
        <v>3.67</v>
      </c>
      <c r="H4" s="17">
        <v>4.16</v>
      </c>
      <c r="I4" s="13">
        <v>5.3</v>
      </c>
      <c r="J4" s="17">
        <v>6.81</v>
      </c>
      <c r="K4" s="17">
        <v>6.2</v>
      </c>
      <c r="L4" s="17">
        <v>13.0</v>
      </c>
      <c r="M4" s="13">
        <v>4.75</v>
      </c>
      <c r="N4" s="13">
        <v>5.61</v>
      </c>
    </row>
    <row r="5">
      <c r="A5" s="6" t="s">
        <v>9</v>
      </c>
      <c r="B5" s="17">
        <v>3.3</v>
      </c>
      <c r="C5" s="13">
        <v>3.43</v>
      </c>
      <c r="D5" s="13">
        <v>4.1</v>
      </c>
      <c r="E5" s="17">
        <v>6.44</v>
      </c>
      <c r="F5" s="17">
        <v>8.46</v>
      </c>
      <c r="G5" s="17">
        <v>3.76</v>
      </c>
      <c r="H5" s="17">
        <v>4.17</v>
      </c>
      <c r="I5" s="13">
        <v>6.02</v>
      </c>
      <c r="J5" s="17">
        <v>4.68</v>
      </c>
      <c r="K5" s="17">
        <v>9.6</v>
      </c>
      <c r="L5" s="17">
        <v>10.8</v>
      </c>
      <c r="M5" s="13">
        <v>5.34</v>
      </c>
      <c r="N5" s="13">
        <v>6.44</v>
      </c>
    </row>
    <row r="6">
      <c r="A6" s="6" t="s">
        <v>10</v>
      </c>
      <c r="B6" s="17">
        <v>3.12</v>
      </c>
      <c r="C6" s="13">
        <v>3.94</v>
      </c>
      <c r="D6" s="13">
        <v>6.0</v>
      </c>
      <c r="E6" s="17">
        <v>8.0</v>
      </c>
      <c r="F6" s="17">
        <v>8.0</v>
      </c>
      <c r="G6" s="17">
        <v>4.22</v>
      </c>
      <c r="H6" s="17">
        <v>6.06</v>
      </c>
      <c r="I6" s="13">
        <v>5.25</v>
      </c>
      <c r="J6" s="17">
        <v>11.37</v>
      </c>
      <c r="K6" s="17">
        <v>15.0</v>
      </c>
      <c r="L6" s="17">
        <v>24.33</v>
      </c>
      <c r="M6" s="13">
        <v>6.5</v>
      </c>
      <c r="N6" s="13">
        <v>6.0</v>
      </c>
    </row>
    <row r="7">
      <c r="A7" s="23" t="s">
        <v>11</v>
      </c>
      <c r="B7" s="17">
        <v>3.14</v>
      </c>
      <c r="C7" s="13">
        <v>2.89</v>
      </c>
      <c r="D7" s="13">
        <v>2.28</v>
      </c>
      <c r="E7" s="17">
        <v>7.61</v>
      </c>
      <c r="F7" s="17">
        <v>6.66</v>
      </c>
      <c r="G7" s="17">
        <v>3.54</v>
      </c>
      <c r="H7" s="17">
        <v>2.9</v>
      </c>
      <c r="I7" s="13">
        <v>9.71</v>
      </c>
      <c r="J7" s="17">
        <v>4.06</v>
      </c>
      <c r="K7" s="17">
        <v>6.375</v>
      </c>
      <c r="L7" s="17"/>
      <c r="M7" s="13">
        <v>2.84</v>
      </c>
      <c r="N7" s="34"/>
    </row>
    <row r="8">
      <c r="A8" s="6" t="s">
        <v>12</v>
      </c>
      <c r="B8" s="17">
        <v>2.16</v>
      </c>
      <c r="C8" s="13">
        <v>4.22</v>
      </c>
      <c r="D8" s="13">
        <v>5.33</v>
      </c>
      <c r="E8" s="17">
        <v>5.0</v>
      </c>
      <c r="F8" s="17">
        <v>3.4</v>
      </c>
      <c r="G8" s="17">
        <v>4.22</v>
      </c>
      <c r="H8" s="17">
        <v>3.2</v>
      </c>
      <c r="I8" s="13">
        <v>5.66</v>
      </c>
      <c r="J8" s="17">
        <v>12.0</v>
      </c>
      <c r="K8" s="17">
        <v>4.4</v>
      </c>
      <c r="L8" s="17">
        <v>4.6</v>
      </c>
      <c r="M8" s="13">
        <v>4.09</v>
      </c>
      <c r="N8" s="13">
        <v>2.8</v>
      </c>
    </row>
    <row r="9">
      <c r="A9" s="6" t="s">
        <v>13</v>
      </c>
      <c r="B9" s="17">
        <v>2.66</v>
      </c>
      <c r="C9" s="13">
        <v>5.3</v>
      </c>
      <c r="D9" s="13">
        <v>4.0</v>
      </c>
      <c r="E9" s="17">
        <v>11.0</v>
      </c>
      <c r="F9" s="17">
        <v>23.0</v>
      </c>
      <c r="G9" s="17">
        <v>4.16</v>
      </c>
      <c r="H9" s="17">
        <v>4.37</v>
      </c>
      <c r="I9" s="13">
        <v>10.66</v>
      </c>
      <c r="J9" s="17">
        <v>6.4</v>
      </c>
      <c r="K9" s="17">
        <v>15.0</v>
      </c>
      <c r="L9" s="17">
        <v>19.0</v>
      </c>
      <c r="M9" s="13">
        <v>5.12</v>
      </c>
      <c r="N9" s="13">
        <v>11.33</v>
      </c>
    </row>
    <row r="10">
      <c r="A10" s="6" t="s">
        <v>14</v>
      </c>
      <c r="B10" s="17">
        <v>2.33</v>
      </c>
      <c r="C10" s="13">
        <v>4.2</v>
      </c>
      <c r="D10" s="13">
        <v>3.3</v>
      </c>
      <c r="E10" s="17">
        <v>8.25</v>
      </c>
      <c r="F10" s="17">
        <v>6.66</v>
      </c>
      <c r="G10" s="17">
        <v>4.28</v>
      </c>
      <c r="H10" s="17">
        <v>3.7</v>
      </c>
      <c r="I10" s="13">
        <v>4.11</v>
      </c>
      <c r="J10" s="17">
        <v>7.5</v>
      </c>
      <c r="K10" s="17">
        <v>9.0</v>
      </c>
      <c r="L10" s="17">
        <v>17.66</v>
      </c>
      <c r="M10" s="13">
        <v>4.44</v>
      </c>
      <c r="N10" s="13">
        <v>3.86</v>
      </c>
    </row>
    <row r="11">
      <c r="A11" s="25" t="s">
        <v>16</v>
      </c>
      <c r="B11" s="7">
        <v>2.78</v>
      </c>
      <c r="C11" s="1">
        <v>3.03</v>
      </c>
      <c r="D11" s="1">
        <v>3.41</v>
      </c>
      <c r="E11" s="1">
        <v>4.92</v>
      </c>
      <c r="F11" s="7">
        <v>5.08</v>
      </c>
      <c r="G11" s="7">
        <v>3.41</v>
      </c>
      <c r="H11" s="7">
        <v>2.9</v>
      </c>
      <c r="J11" s="7">
        <v>6.36</v>
      </c>
      <c r="K11" s="7">
        <v>11.09</v>
      </c>
      <c r="M11" s="1">
        <v>7.08</v>
      </c>
      <c r="O11" s="1"/>
    </row>
    <row r="12">
      <c r="A12" s="25" t="s">
        <v>19</v>
      </c>
      <c r="B12" s="7">
        <v>3.44</v>
      </c>
      <c r="C12" s="1">
        <v>2.82</v>
      </c>
      <c r="D12" s="1">
        <v>3.15</v>
      </c>
      <c r="E12" s="1">
        <v>5.44</v>
      </c>
      <c r="F12" s="7">
        <v>5.93</v>
      </c>
      <c r="G12" s="7">
        <v>2.84</v>
      </c>
      <c r="H12" s="7">
        <v>4.15</v>
      </c>
      <c r="J12" s="7">
        <v>4.58</v>
      </c>
      <c r="K12" s="7">
        <v>11.04</v>
      </c>
      <c r="M12" s="1">
        <v>5.3</v>
      </c>
      <c r="N12" s="28"/>
    </row>
    <row r="13">
      <c r="A13" s="25" t="s">
        <v>21</v>
      </c>
      <c r="B13" s="7">
        <v>3.72</v>
      </c>
      <c r="C13" s="1">
        <v>2.98</v>
      </c>
      <c r="D13" s="1">
        <v>3.16</v>
      </c>
      <c r="E13" s="1">
        <v>4.91</v>
      </c>
      <c r="F13" s="7">
        <v>4.68</v>
      </c>
      <c r="G13" s="7">
        <v>2.78</v>
      </c>
      <c r="H13" s="7">
        <v>3.23</v>
      </c>
      <c r="J13" s="7">
        <v>4.41</v>
      </c>
      <c r="K13" s="7">
        <v>10.64</v>
      </c>
      <c r="M13" s="1">
        <v>3.97</v>
      </c>
      <c r="N13" s="28"/>
    </row>
    <row r="14">
      <c r="A14" s="25" t="s">
        <v>23</v>
      </c>
      <c r="B14" s="7">
        <v>3.9</v>
      </c>
      <c r="C14" s="1">
        <v>3.96</v>
      </c>
      <c r="D14" s="1">
        <v>3.85</v>
      </c>
      <c r="E14" s="7">
        <v>7.7</v>
      </c>
      <c r="F14" s="7">
        <v>7.6</v>
      </c>
      <c r="G14" s="7">
        <v>3.84</v>
      </c>
      <c r="H14" s="7">
        <v>4.17</v>
      </c>
      <c r="I14" s="1">
        <v>4.78</v>
      </c>
      <c r="J14" s="7">
        <v>7.92</v>
      </c>
      <c r="K14" s="7">
        <v>10.2</v>
      </c>
      <c r="L14" s="1">
        <v>21.2</v>
      </c>
      <c r="M14" s="1">
        <v>4.53</v>
      </c>
      <c r="N14" s="24">
        <v>4.89</v>
      </c>
    </row>
    <row r="15">
      <c r="A15" s="25" t="s">
        <v>25</v>
      </c>
      <c r="B15" s="7">
        <v>4.47</v>
      </c>
      <c r="C15" s="1">
        <v>2.92</v>
      </c>
      <c r="D15" s="1">
        <v>3.07</v>
      </c>
      <c r="E15" s="1">
        <v>7.12</v>
      </c>
      <c r="F15" s="31"/>
      <c r="G15" s="7">
        <v>3.09</v>
      </c>
      <c r="H15" s="7">
        <v>3.8</v>
      </c>
      <c r="J15" s="7">
        <v>5.28</v>
      </c>
      <c r="K15" s="7">
        <v>10.27</v>
      </c>
      <c r="M15" s="1">
        <v>5.74</v>
      </c>
      <c r="N15" s="28"/>
    </row>
    <row r="16">
      <c r="A16" s="25" t="s">
        <v>27</v>
      </c>
      <c r="B16" s="7">
        <v>3.43</v>
      </c>
      <c r="C16" s="1">
        <v>2.83</v>
      </c>
      <c r="D16" s="1">
        <v>2.84</v>
      </c>
      <c r="E16" s="1">
        <v>7.02</v>
      </c>
      <c r="F16" s="7">
        <v>8.1</v>
      </c>
      <c r="G16" s="7">
        <v>2.95</v>
      </c>
      <c r="H16" s="7">
        <v>2.98</v>
      </c>
      <c r="J16" s="7">
        <v>6.3</v>
      </c>
      <c r="K16" s="7">
        <v>8.53</v>
      </c>
      <c r="M16" s="1">
        <v>4.88</v>
      </c>
      <c r="N16" s="28"/>
    </row>
    <row r="17">
      <c r="A17" s="25" t="s">
        <v>29</v>
      </c>
      <c r="B17" s="7">
        <v>4.8</v>
      </c>
      <c r="C17" s="1">
        <v>2.94</v>
      </c>
      <c r="D17" s="1">
        <v>3.0</v>
      </c>
      <c r="E17" s="7">
        <v>8.33</v>
      </c>
      <c r="F17" s="7">
        <v>13.0</v>
      </c>
      <c r="G17" s="7">
        <v>3.19</v>
      </c>
      <c r="H17" s="7">
        <v>2.8</v>
      </c>
      <c r="I17" s="1">
        <v>8.0</v>
      </c>
      <c r="J17" s="7">
        <v>8.22</v>
      </c>
      <c r="K17" s="7">
        <v>10.0</v>
      </c>
      <c r="L17" s="7">
        <v>22.0</v>
      </c>
      <c r="M17" s="1">
        <v>3.16</v>
      </c>
      <c r="N17" s="24">
        <v>10.0</v>
      </c>
    </row>
    <row r="18">
      <c r="A18" s="33" t="s">
        <v>31</v>
      </c>
      <c r="B18" s="7">
        <v>4.68</v>
      </c>
      <c r="C18" s="1">
        <v>2.85</v>
      </c>
      <c r="D18" s="1">
        <v>3.07</v>
      </c>
      <c r="E18" s="1">
        <v>6.27</v>
      </c>
      <c r="F18" s="7">
        <v>6.8</v>
      </c>
      <c r="G18" s="7">
        <v>3.12</v>
      </c>
      <c r="H18" s="7">
        <v>3.8</v>
      </c>
      <c r="J18" s="7">
        <v>5.62</v>
      </c>
      <c r="K18" s="7">
        <v>12.47</v>
      </c>
      <c r="L18" s="31"/>
      <c r="M18" s="1">
        <v>7.78</v>
      </c>
      <c r="N18" s="28"/>
    </row>
    <row r="19">
      <c r="A19" s="33" t="s">
        <v>33</v>
      </c>
      <c r="B19" s="7">
        <v>4.58</v>
      </c>
      <c r="C19" s="1">
        <v>2.59</v>
      </c>
      <c r="D19" s="1">
        <v>2.79</v>
      </c>
      <c r="E19" s="1">
        <v>4.46</v>
      </c>
      <c r="F19" s="7">
        <v>4.44</v>
      </c>
      <c r="G19" s="7">
        <v>2.67</v>
      </c>
      <c r="H19" s="7">
        <v>3.02</v>
      </c>
      <c r="J19" s="7">
        <v>4.68</v>
      </c>
      <c r="K19" s="7">
        <v>7.41</v>
      </c>
      <c r="L19" s="31"/>
      <c r="M19" s="1">
        <v>4.33</v>
      </c>
      <c r="N19" s="28"/>
    </row>
    <row r="20">
      <c r="A20" s="25" t="s">
        <v>35</v>
      </c>
      <c r="B20" s="7">
        <v>4.55</v>
      </c>
      <c r="C20" s="1">
        <v>3.51</v>
      </c>
      <c r="D20" s="1">
        <v>3.86</v>
      </c>
      <c r="E20" s="7">
        <v>7.41</v>
      </c>
      <c r="F20" s="7">
        <v>8.0</v>
      </c>
      <c r="G20" s="7">
        <v>3.5</v>
      </c>
      <c r="H20" s="7">
        <v>3.24</v>
      </c>
      <c r="I20" s="1">
        <v>5.73</v>
      </c>
      <c r="J20" s="7">
        <v>8.66</v>
      </c>
      <c r="K20" s="7">
        <v>11.5</v>
      </c>
      <c r="L20" s="7">
        <v>19.16</v>
      </c>
      <c r="M20" s="1">
        <v>3.51</v>
      </c>
      <c r="N20" s="24">
        <v>4.0</v>
      </c>
    </row>
    <row r="21">
      <c r="A21" s="25" t="s">
        <v>37</v>
      </c>
      <c r="B21" s="7">
        <v>4.37</v>
      </c>
      <c r="C21" s="1">
        <v>3.02</v>
      </c>
      <c r="D21" s="1">
        <v>3.25</v>
      </c>
      <c r="E21" s="7">
        <v>5.12</v>
      </c>
      <c r="F21" s="7">
        <v>6.22</v>
      </c>
      <c r="G21" s="7">
        <v>3.43</v>
      </c>
      <c r="H21" s="7">
        <v>3.44</v>
      </c>
      <c r="I21" s="1">
        <v>3.81</v>
      </c>
      <c r="J21" s="7">
        <v>3.39</v>
      </c>
      <c r="K21" s="7">
        <v>10.63</v>
      </c>
      <c r="L21" s="1">
        <v>5.23</v>
      </c>
      <c r="M21" s="1">
        <v>9.18</v>
      </c>
      <c r="N21" s="24">
        <v>5.88</v>
      </c>
    </row>
    <row r="22">
      <c r="A22" s="33" t="s">
        <v>39</v>
      </c>
      <c r="B22" s="7">
        <v>5.46</v>
      </c>
      <c r="C22" s="1">
        <v>2.9</v>
      </c>
      <c r="D22" s="1">
        <v>2.92</v>
      </c>
      <c r="E22" s="1">
        <v>7.04</v>
      </c>
      <c r="F22" s="7">
        <v>8.08</v>
      </c>
      <c r="G22" s="7">
        <v>3.18</v>
      </c>
      <c r="H22" s="7">
        <v>3.31</v>
      </c>
      <c r="J22" s="7">
        <v>5.75</v>
      </c>
      <c r="K22" s="7">
        <v>11.0</v>
      </c>
      <c r="M22" s="1">
        <v>6.42</v>
      </c>
      <c r="N22" s="28"/>
    </row>
    <row r="23">
      <c r="A23" s="25" t="s">
        <v>41</v>
      </c>
      <c r="B23" s="7">
        <v>4.51</v>
      </c>
      <c r="C23" s="1">
        <v>3.79</v>
      </c>
      <c r="D23" s="1">
        <v>4.67</v>
      </c>
      <c r="E23" s="7">
        <v>5.44</v>
      </c>
      <c r="F23" s="7">
        <v>6.11</v>
      </c>
      <c r="G23" s="7">
        <v>3.62</v>
      </c>
      <c r="H23" s="7">
        <v>4.18</v>
      </c>
      <c r="I23" s="1">
        <v>6.06</v>
      </c>
      <c r="J23" s="7">
        <v>5.55</v>
      </c>
      <c r="K23" s="7">
        <v>8.92</v>
      </c>
      <c r="L23" s="7">
        <v>8.53</v>
      </c>
      <c r="M23" s="1">
        <v>5.95</v>
      </c>
      <c r="N23" s="24">
        <v>5.6</v>
      </c>
    </row>
    <row r="24">
      <c r="A24" s="25" t="s">
        <v>43</v>
      </c>
      <c r="B24" s="7">
        <v>3.55</v>
      </c>
      <c r="C24" s="1">
        <v>3.61</v>
      </c>
      <c r="D24" s="1">
        <v>4.15</v>
      </c>
      <c r="E24" s="7">
        <v>11.0</v>
      </c>
      <c r="F24" s="7">
        <v>16.33</v>
      </c>
      <c r="G24" s="7">
        <v>3.78</v>
      </c>
      <c r="H24" s="7">
        <v>3.56</v>
      </c>
      <c r="I24" s="1">
        <v>6.18</v>
      </c>
      <c r="J24" s="7">
        <v>4.7</v>
      </c>
      <c r="K24" s="7">
        <v>20.33</v>
      </c>
      <c r="L24" s="7">
        <v>16.66</v>
      </c>
      <c r="M24" s="1">
        <v>5.46</v>
      </c>
      <c r="N24" s="24">
        <v>5.28</v>
      </c>
    </row>
    <row r="25">
      <c r="A25" s="25" t="s">
        <v>45</v>
      </c>
      <c r="B25" s="7">
        <v>4.15</v>
      </c>
      <c r="C25" s="1">
        <v>3.31</v>
      </c>
      <c r="D25" s="1">
        <v>4.14</v>
      </c>
      <c r="E25" s="7">
        <v>9.41</v>
      </c>
      <c r="F25" s="7">
        <v>12.4</v>
      </c>
      <c r="G25" s="7">
        <v>3.74</v>
      </c>
      <c r="H25" s="7">
        <v>3.27</v>
      </c>
      <c r="I25" s="1">
        <v>5.82</v>
      </c>
      <c r="J25" s="7">
        <v>4.35</v>
      </c>
      <c r="K25" s="7">
        <v>13.8</v>
      </c>
      <c r="L25" s="1">
        <v>10.75</v>
      </c>
      <c r="M25" s="1">
        <v>4.77</v>
      </c>
      <c r="N25" s="24">
        <v>5.35</v>
      </c>
    </row>
    <row r="26">
      <c r="A26" s="25" t="s">
        <v>47</v>
      </c>
      <c r="B26" s="7">
        <v>4.14</v>
      </c>
      <c r="C26" s="1">
        <v>2.74</v>
      </c>
      <c r="D26" s="1">
        <v>3.02</v>
      </c>
      <c r="E26" s="1">
        <v>4.42</v>
      </c>
      <c r="F26" s="31"/>
      <c r="G26" s="7">
        <v>1.86</v>
      </c>
      <c r="H26" s="31"/>
      <c r="J26" s="31"/>
      <c r="K26" s="7">
        <v>7.82</v>
      </c>
      <c r="N26" s="28"/>
    </row>
    <row r="27">
      <c r="A27" s="25" t="s">
        <v>49</v>
      </c>
      <c r="B27" s="7">
        <v>4.5</v>
      </c>
      <c r="C27" s="1">
        <v>2.56</v>
      </c>
      <c r="D27" s="1">
        <v>2.45</v>
      </c>
      <c r="E27" s="1">
        <v>4.73</v>
      </c>
      <c r="F27" s="7">
        <v>5.43</v>
      </c>
      <c r="G27" s="7">
        <v>3.57</v>
      </c>
      <c r="H27" s="7">
        <v>3.96</v>
      </c>
      <c r="J27" s="7">
        <v>5.23</v>
      </c>
      <c r="K27" s="7">
        <v>10.53</v>
      </c>
      <c r="M27" s="1">
        <v>5.86</v>
      </c>
      <c r="N27" s="28"/>
    </row>
    <row r="28">
      <c r="A28" s="25" t="s">
        <v>51</v>
      </c>
      <c r="B28" s="7">
        <v>4.26</v>
      </c>
      <c r="C28" s="1">
        <v>2.43</v>
      </c>
      <c r="D28" s="1">
        <v>2.95</v>
      </c>
      <c r="E28" s="1">
        <v>5.14</v>
      </c>
      <c r="F28" s="7">
        <v>7.0</v>
      </c>
      <c r="G28" s="7">
        <v>3.01</v>
      </c>
      <c r="H28" s="7">
        <v>3.34</v>
      </c>
      <c r="J28" s="7">
        <v>4.55</v>
      </c>
      <c r="K28" s="7">
        <v>11.88</v>
      </c>
      <c r="M28" s="1">
        <v>5.36</v>
      </c>
      <c r="N28" s="28"/>
    </row>
    <row r="29">
      <c r="A29" s="25" t="s">
        <v>53</v>
      </c>
      <c r="B29" s="7">
        <v>3.86</v>
      </c>
      <c r="C29" s="1">
        <v>2.68</v>
      </c>
      <c r="D29" s="1">
        <v>2.88</v>
      </c>
      <c r="E29" s="1">
        <v>6.0</v>
      </c>
      <c r="F29" s="7">
        <v>6.5</v>
      </c>
      <c r="G29" s="7">
        <v>2.83</v>
      </c>
      <c r="H29" s="7">
        <v>3.47</v>
      </c>
      <c r="J29" s="7">
        <v>5.9</v>
      </c>
      <c r="K29" s="7">
        <v>19.66</v>
      </c>
      <c r="M29" s="1">
        <v>5.58</v>
      </c>
      <c r="N29" s="28"/>
    </row>
    <row r="30">
      <c r="A30" s="33" t="s">
        <v>55</v>
      </c>
      <c r="B30" s="7">
        <v>4.56</v>
      </c>
      <c r="C30" s="1">
        <v>2.62</v>
      </c>
      <c r="D30" s="1">
        <v>2.45</v>
      </c>
      <c r="E30" s="1">
        <v>5.0</v>
      </c>
      <c r="F30" s="7">
        <v>5.68</v>
      </c>
      <c r="G30" s="7">
        <v>2.79</v>
      </c>
      <c r="H30" s="7">
        <v>3.08</v>
      </c>
      <c r="J30" s="7">
        <v>4.75</v>
      </c>
      <c r="K30" s="7">
        <v>7.16</v>
      </c>
      <c r="M30" s="1">
        <v>4.37</v>
      </c>
      <c r="N30" s="28"/>
    </row>
    <row r="31">
      <c r="A31" s="25" t="s">
        <v>57</v>
      </c>
      <c r="B31" s="7">
        <v>6.52</v>
      </c>
      <c r="C31" s="1">
        <v>3.77</v>
      </c>
      <c r="D31" s="1">
        <v>4.76</v>
      </c>
      <c r="E31" s="7">
        <v>6.81</v>
      </c>
      <c r="F31" s="7">
        <v>9.9</v>
      </c>
      <c r="G31" s="7">
        <v>3.66</v>
      </c>
      <c r="H31" s="7">
        <v>3.81</v>
      </c>
      <c r="I31" s="1">
        <v>7.76</v>
      </c>
      <c r="J31" s="7">
        <v>7.86</v>
      </c>
      <c r="K31" s="7">
        <v>12.15</v>
      </c>
      <c r="L31" s="7">
        <v>13.25</v>
      </c>
      <c r="M31" s="1">
        <v>6.75</v>
      </c>
      <c r="N31" s="24">
        <v>5.63</v>
      </c>
    </row>
    <row r="32">
      <c r="A32" s="33" t="s">
        <v>59</v>
      </c>
      <c r="B32" s="7">
        <v>4.11</v>
      </c>
      <c r="C32" s="1">
        <v>2.92</v>
      </c>
      <c r="D32" s="1">
        <v>3.26</v>
      </c>
      <c r="E32" s="1">
        <v>5.79</v>
      </c>
      <c r="F32" s="7">
        <v>6.53</v>
      </c>
      <c r="G32" s="7">
        <v>3.09</v>
      </c>
      <c r="H32" s="7">
        <v>3.64</v>
      </c>
      <c r="J32" s="7">
        <v>6.0</v>
      </c>
      <c r="K32" s="7">
        <v>11.0</v>
      </c>
      <c r="L32" s="31"/>
      <c r="M32" s="1">
        <v>4.62</v>
      </c>
    </row>
    <row r="33">
      <c r="A33" s="6" t="s">
        <v>60</v>
      </c>
      <c r="B33" s="17">
        <v>3.92</v>
      </c>
      <c r="C33" s="13">
        <v>4.05</v>
      </c>
      <c r="D33" s="13">
        <v>5.05</v>
      </c>
      <c r="E33" s="17">
        <v>7.19</v>
      </c>
      <c r="F33" s="17">
        <v>8.33</v>
      </c>
      <c r="G33" s="17">
        <v>3.41</v>
      </c>
      <c r="H33" s="17">
        <v>3.2</v>
      </c>
      <c r="I33" s="13">
        <v>9.05</v>
      </c>
      <c r="J33" s="17">
        <v>10.31</v>
      </c>
      <c r="K33" s="17">
        <v>9.86</v>
      </c>
      <c r="L33" s="17">
        <v>11.93</v>
      </c>
      <c r="M33" s="1">
        <v>4.04</v>
      </c>
      <c r="N33" s="13">
        <v>4.39</v>
      </c>
    </row>
    <row r="34">
      <c r="A34" s="23" t="s">
        <v>61</v>
      </c>
      <c r="B34" s="17">
        <v>6.25</v>
      </c>
      <c r="C34" s="13">
        <v>2.89</v>
      </c>
      <c r="D34" s="17">
        <v>2.64</v>
      </c>
      <c r="E34" s="13">
        <v>6.34</v>
      </c>
      <c r="F34" s="17">
        <v>6.66</v>
      </c>
      <c r="G34" s="17">
        <v>3.01</v>
      </c>
      <c r="H34" s="17">
        <v>2.94</v>
      </c>
      <c r="I34" s="13"/>
      <c r="J34" s="17">
        <v>5.05</v>
      </c>
      <c r="K34" s="17">
        <v>11.85</v>
      </c>
      <c r="L34" s="17"/>
      <c r="M34" s="13">
        <v>3.98</v>
      </c>
      <c r="N34" s="34"/>
    </row>
    <row r="35">
      <c r="A35" s="23" t="s">
        <v>62</v>
      </c>
      <c r="B35" s="17">
        <v>2.57</v>
      </c>
      <c r="C35" s="13">
        <v>2.84</v>
      </c>
      <c r="D35" s="17">
        <v>3.61</v>
      </c>
      <c r="E35" s="13">
        <v>9.0</v>
      </c>
      <c r="F35" s="17">
        <v>9.0</v>
      </c>
      <c r="G35" s="17">
        <v>3.45</v>
      </c>
      <c r="H35" s="17">
        <v>6.0</v>
      </c>
      <c r="I35" s="13"/>
      <c r="J35" s="17">
        <v>6.0</v>
      </c>
      <c r="K35" s="17">
        <v>10.66</v>
      </c>
      <c r="L35" s="17"/>
      <c r="M35" s="13">
        <v>9.0</v>
      </c>
      <c r="N35" s="34"/>
    </row>
    <row r="36">
      <c r="A36" s="23" t="s">
        <v>63</v>
      </c>
      <c r="B36" s="17">
        <v>2.88</v>
      </c>
      <c r="C36" s="13">
        <v>2.91</v>
      </c>
      <c r="D36" s="13">
        <v>2.87</v>
      </c>
      <c r="E36" s="13">
        <v>8.9</v>
      </c>
      <c r="F36" s="17"/>
      <c r="G36" s="13">
        <v>2.82</v>
      </c>
      <c r="H36" s="13">
        <v>3.19</v>
      </c>
      <c r="I36" s="13"/>
      <c r="J36" s="17">
        <v>3.81</v>
      </c>
      <c r="K36" s="17">
        <v>14.0</v>
      </c>
      <c r="L36" s="32"/>
      <c r="M36" s="13">
        <v>4.93</v>
      </c>
      <c r="N36" s="34"/>
    </row>
    <row r="37">
      <c r="A37" s="23" t="s">
        <v>64</v>
      </c>
      <c r="B37" s="17">
        <v>3.0</v>
      </c>
      <c r="C37" s="13">
        <v>2.54</v>
      </c>
      <c r="D37" s="13">
        <v>3.07</v>
      </c>
      <c r="E37" s="17">
        <v>4.83</v>
      </c>
      <c r="F37" s="17">
        <v>7.0</v>
      </c>
      <c r="G37" s="17">
        <v>2.75</v>
      </c>
      <c r="H37" s="17">
        <v>3.07</v>
      </c>
      <c r="I37" s="13">
        <v>4.14</v>
      </c>
      <c r="J37" s="17">
        <v>4.21</v>
      </c>
      <c r="K37" s="17">
        <v>9.6</v>
      </c>
      <c r="L37" s="17">
        <v>7.2</v>
      </c>
      <c r="M37" s="13">
        <v>5.09</v>
      </c>
      <c r="N37" s="13">
        <v>4.14</v>
      </c>
    </row>
    <row r="38">
      <c r="A38" s="23" t="s">
        <v>65</v>
      </c>
      <c r="B38" s="17">
        <v>3.16</v>
      </c>
      <c r="C38" s="13">
        <v>2.82</v>
      </c>
      <c r="D38" s="17">
        <v>2.83</v>
      </c>
      <c r="E38" s="13">
        <v>2.35</v>
      </c>
      <c r="F38" s="17">
        <v>4.66</v>
      </c>
      <c r="G38" s="17">
        <v>2.94</v>
      </c>
      <c r="H38" s="17">
        <v>3.54</v>
      </c>
      <c r="I38" s="13"/>
      <c r="J38" s="32"/>
      <c r="K38" s="17">
        <v>14.0</v>
      </c>
      <c r="L38" s="32"/>
      <c r="M38" s="13"/>
      <c r="N38" s="34"/>
    </row>
    <row r="39">
      <c r="A39" s="23" t="s">
        <v>66</v>
      </c>
      <c r="B39" s="17">
        <v>2.71</v>
      </c>
      <c r="C39" s="13">
        <v>3.41</v>
      </c>
      <c r="D39" s="13">
        <v>3.71</v>
      </c>
      <c r="E39" s="17">
        <v>4.44</v>
      </c>
      <c r="F39" s="17">
        <v>4.2</v>
      </c>
      <c r="G39" s="17">
        <v>2.8</v>
      </c>
      <c r="H39" s="17">
        <v>3.63</v>
      </c>
      <c r="I39" s="13">
        <v>5.14</v>
      </c>
      <c r="J39" s="17">
        <v>6.0</v>
      </c>
      <c r="K39" s="17">
        <v>7.6</v>
      </c>
      <c r="L39" s="17">
        <v>6.8</v>
      </c>
      <c r="M39" s="13">
        <v>4.81</v>
      </c>
      <c r="N39" s="13">
        <v>3.63</v>
      </c>
    </row>
    <row r="40">
      <c r="A40" s="23" t="s">
        <v>67</v>
      </c>
      <c r="B40" s="17">
        <v>12.65</v>
      </c>
      <c r="C40" s="13">
        <v>2.83</v>
      </c>
      <c r="D40" s="17">
        <v>2.76</v>
      </c>
      <c r="E40" s="13">
        <v>5.8</v>
      </c>
      <c r="F40" s="17">
        <v>6.26</v>
      </c>
      <c r="G40" s="17">
        <v>3.27</v>
      </c>
      <c r="H40" s="17">
        <v>4.01</v>
      </c>
      <c r="I40" s="13"/>
      <c r="J40" s="32"/>
      <c r="K40" s="17">
        <v>10.35</v>
      </c>
      <c r="L40" s="32"/>
      <c r="M40" s="34"/>
      <c r="N40" s="34"/>
    </row>
    <row r="41">
      <c r="A41" s="23" t="s">
        <v>68</v>
      </c>
      <c r="B41" s="17">
        <v>3.54</v>
      </c>
      <c r="C41" s="13">
        <v>3.9</v>
      </c>
      <c r="D41" s="13">
        <v>3.88</v>
      </c>
      <c r="E41" s="17">
        <v>8.44</v>
      </c>
      <c r="F41" s="17">
        <v>9.5</v>
      </c>
      <c r="G41" s="17">
        <v>2.86</v>
      </c>
      <c r="H41" s="17">
        <v>3.42</v>
      </c>
      <c r="I41" s="13">
        <v>6.8</v>
      </c>
      <c r="J41" s="17">
        <v>4.38</v>
      </c>
      <c r="K41" s="17">
        <v>12.0</v>
      </c>
      <c r="L41" s="17">
        <v>10.0</v>
      </c>
      <c r="M41" s="13">
        <v>4.77</v>
      </c>
      <c r="N41" s="13">
        <v>6.4</v>
      </c>
    </row>
    <row r="42">
      <c r="A42" s="23" t="s">
        <v>69</v>
      </c>
      <c r="B42" s="17">
        <v>3.0</v>
      </c>
      <c r="C42" s="13">
        <v>2.46</v>
      </c>
      <c r="D42" s="17">
        <v>2.62</v>
      </c>
      <c r="E42" s="13">
        <v>4.33</v>
      </c>
      <c r="F42" s="17">
        <v>4.9</v>
      </c>
      <c r="G42" s="17">
        <v>3.23</v>
      </c>
      <c r="H42" s="17">
        <v>4.4</v>
      </c>
      <c r="I42" s="13"/>
      <c r="J42" s="32"/>
      <c r="K42" s="17">
        <v>9.4</v>
      </c>
      <c r="L42" s="17"/>
      <c r="M42" s="34"/>
      <c r="N42" s="34"/>
    </row>
    <row r="43">
      <c r="A43" s="23" t="s">
        <v>70</v>
      </c>
      <c r="B43" s="17">
        <v>2.6</v>
      </c>
      <c r="C43" s="13">
        <v>3.5</v>
      </c>
      <c r="D43" s="13">
        <v>4.4</v>
      </c>
      <c r="E43" s="17">
        <v>7.33</v>
      </c>
      <c r="F43" s="17">
        <v>6.0</v>
      </c>
      <c r="G43" s="17">
        <v>4.31</v>
      </c>
      <c r="H43" s="17">
        <v>3.5</v>
      </c>
      <c r="I43" s="13">
        <v>5.0</v>
      </c>
      <c r="J43" s="17">
        <v>4.11</v>
      </c>
      <c r="K43" s="17">
        <v>13.33</v>
      </c>
      <c r="L43" s="17">
        <v>7.0</v>
      </c>
      <c r="M43" s="13">
        <v>6.5</v>
      </c>
      <c r="N43" s="13">
        <v>4.0</v>
      </c>
    </row>
    <row r="44">
      <c r="A44" s="23" t="s">
        <v>71</v>
      </c>
      <c r="B44" s="17">
        <v>4.25</v>
      </c>
      <c r="C44" s="13">
        <v>3.27</v>
      </c>
      <c r="D44" s="13">
        <v>1.5</v>
      </c>
      <c r="E44" s="17">
        <v>4.7</v>
      </c>
      <c r="F44" s="17">
        <v>4.5</v>
      </c>
      <c r="G44" s="17">
        <v>2.5</v>
      </c>
      <c r="H44" s="17">
        <v>3.57</v>
      </c>
      <c r="I44" s="13">
        <v>3.6</v>
      </c>
      <c r="J44" s="17">
        <v>4.5</v>
      </c>
      <c r="K44" s="17">
        <v>2.0</v>
      </c>
      <c r="L44" s="17">
        <v>6.0</v>
      </c>
      <c r="M44" s="13">
        <v>2.71</v>
      </c>
      <c r="N44" s="13">
        <v>3.85</v>
      </c>
    </row>
    <row r="45">
      <c r="A45" s="23" t="s">
        <v>72</v>
      </c>
      <c r="B45" s="17">
        <v>3.0</v>
      </c>
      <c r="C45" s="13">
        <v>4.06</v>
      </c>
      <c r="D45" s="13">
        <v>3.35</v>
      </c>
      <c r="E45" s="17">
        <v>4.1</v>
      </c>
      <c r="F45" s="17">
        <v>4.2</v>
      </c>
      <c r="G45" s="17">
        <v>2.65</v>
      </c>
      <c r="H45" s="17">
        <v>2.9</v>
      </c>
      <c r="I45" s="13">
        <v>4.07</v>
      </c>
      <c r="J45" s="17">
        <v>3.25</v>
      </c>
      <c r="K45" s="17">
        <v>8.4</v>
      </c>
      <c r="L45" s="17">
        <v>5.4</v>
      </c>
      <c r="M45" s="13">
        <v>5.18</v>
      </c>
      <c r="N45" s="13">
        <v>3.45</v>
      </c>
    </row>
    <row r="46">
      <c r="A46" s="35" t="s">
        <v>73</v>
      </c>
      <c r="B46" s="37">
        <f t="shared" ref="B46:N46" si="1">ROUND( AVERAGE(B4:B45),0)</f>
        <v>4</v>
      </c>
      <c r="C46" s="37">
        <f t="shared" si="1"/>
        <v>3</v>
      </c>
      <c r="D46" s="37">
        <f t="shared" si="1"/>
        <v>3</v>
      </c>
      <c r="E46" s="37">
        <f t="shared" si="1"/>
        <v>6</v>
      </c>
      <c r="F46" s="37">
        <f t="shared" si="1"/>
        <v>7</v>
      </c>
      <c r="G46" s="37">
        <f t="shared" si="1"/>
        <v>3</v>
      </c>
      <c r="H46" s="37">
        <f t="shared" si="1"/>
        <v>4</v>
      </c>
      <c r="I46" s="37">
        <f t="shared" si="1"/>
        <v>6</v>
      </c>
      <c r="J46" s="37">
        <f t="shared" si="1"/>
        <v>6</v>
      </c>
      <c r="K46" s="37">
        <f t="shared" si="1"/>
        <v>11</v>
      </c>
      <c r="L46" s="37">
        <f t="shared" si="1"/>
        <v>12</v>
      </c>
      <c r="M46" s="37">
        <f t="shared" si="1"/>
        <v>5</v>
      </c>
      <c r="N46" s="37">
        <f t="shared" si="1"/>
        <v>5</v>
      </c>
      <c r="O46" s="37"/>
    </row>
    <row r="47">
      <c r="A47" s="51" t="s">
        <v>93</v>
      </c>
      <c r="B47" s="52">
        <f t="shared" ref="B47:N47" si="2">ROUND(MIN(B4:B45),0)</f>
        <v>2</v>
      </c>
      <c r="C47" s="52">
        <f t="shared" si="2"/>
        <v>2</v>
      </c>
      <c r="D47" s="52">
        <f t="shared" si="2"/>
        <v>2</v>
      </c>
      <c r="E47" s="52">
        <f t="shared" si="2"/>
        <v>2</v>
      </c>
      <c r="F47" s="52">
        <f t="shared" si="2"/>
        <v>3</v>
      </c>
      <c r="G47" s="52">
        <f t="shared" si="2"/>
        <v>2</v>
      </c>
      <c r="H47" s="52">
        <f t="shared" si="2"/>
        <v>3</v>
      </c>
      <c r="I47" s="52">
        <f t="shared" si="2"/>
        <v>4</v>
      </c>
      <c r="J47" s="52">
        <f t="shared" si="2"/>
        <v>3</v>
      </c>
      <c r="K47" s="52">
        <f t="shared" si="2"/>
        <v>2</v>
      </c>
      <c r="L47" s="52">
        <f t="shared" si="2"/>
        <v>5</v>
      </c>
      <c r="M47" s="52">
        <f t="shared" si="2"/>
        <v>3</v>
      </c>
      <c r="N47" s="52">
        <f t="shared" si="2"/>
        <v>3</v>
      </c>
    </row>
    <row r="48">
      <c r="A48" s="51" t="s">
        <v>94</v>
      </c>
      <c r="B48" s="52">
        <f t="shared" ref="B48:N48" si="3">ROUND(MAX(B4:B45),0)</f>
        <v>13</v>
      </c>
      <c r="C48" s="52">
        <f t="shared" si="3"/>
        <v>5</v>
      </c>
      <c r="D48" s="52">
        <f t="shared" si="3"/>
        <v>6</v>
      </c>
      <c r="E48" s="52">
        <f t="shared" si="3"/>
        <v>11</v>
      </c>
      <c r="F48" s="52">
        <f t="shared" si="3"/>
        <v>23</v>
      </c>
      <c r="G48" s="52">
        <f t="shared" si="3"/>
        <v>4</v>
      </c>
      <c r="H48" s="52">
        <f t="shared" si="3"/>
        <v>6</v>
      </c>
      <c r="I48" s="52">
        <f t="shared" si="3"/>
        <v>11</v>
      </c>
      <c r="J48" s="52">
        <f t="shared" si="3"/>
        <v>12</v>
      </c>
      <c r="K48" s="52">
        <f t="shared" si="3"/>
        <v>20</v>
      </c>
      <c r="L48" s="52">
        <f t="shared" si="3"/>
        <v>24</v>
      </c>
      <c r="M48" s="52">
        <f t="shared" si="3"/>
        <v>9</v>
      </c>
      <c r="N48" s="52">
        <f t="shared" si="3"/>
        <v>11</v>
      </c>
    </row>
    <row r="49">
      <c r="A49" s="40" t="s">
        <v>74</v>
      </c>
      <c r="B49" s="37">
        <f t="shared" ref="B49:L49" si="4">ROUND(AVERAGE(B4:B10,B33:B45),0)</f>
        <v>4</v>
      </c>
      <c r="C49" s="37">
        <f t="shared" si="4"/>
        <v>3</v>
      </c>
      <c r="D49" s="37">
        <f t="shared" si="4"/>
        <v>4</v>
      </c>
      <c r="E49" s="37">
        <f t="shared" si="4"/>
        <v>7</v>
      </c>
      <c r="F49" s="37">
        <f t="shared" si="4"/>
        <v>7</v>
      </c>
      <c r="G49" s="37">
        <f t="shared" si="4"/>
        <v>3</v>
      </c>
      <c r="H49" s="37">
        <f t="shared" si="4"/>
        <v>4</v>
      </c>
      <c r="I49" s="37">
        <f t="shared" si="4"/>
        <v>6</v>
      </c>
      <c r="J49" s="37">
        <f t="shared" si="4"/>
        <v>6</v>
      </c>
      <c r="K49" s="37">
        <f t="shared" si="4"/>
        <v>10</v>
      </c>
      <c r="L49" s="37">
        <f t="shared" si="4"/>
        <v>11</v>
      </c>
      <c r="M49" s="37">
        <f>ROUND(AVERAGE(M4:M10,M34:M45),0)</f>
        <v>5</v>
      </c>
      <c r="N49" s="37">
        <f>ROUND(AVERAGE(N4:N10,N33:N45),0)</f>
        <v>5</v>
      </c>
      <c r="O49" s="37"/>
    </row>
    <row r="50">
      <c r="A50" s="51" t="s">
        <v>93</v>
      </c>
      <c r="B50" s="31">
        <f t="shared" ref="B50:L50" si="5">ROUND(MIN(B4:B10,B33:B45),0)</f>
        <v>2</v>
      </c>
      <c r="C50" s="31">
        <f t="shared" si="5"/>
        <v>2</v>
      </c>
      <c r="D50" s="31">
        <f t="shared" si="5"/>
        <v>2</v>
      </c>
      <c r="E50" s="31">
        <f t="shared" si="5"/>
        <v>2</v>
      </c>
      <c r="F50" s="31">
        <f t="shared" si="5"/>
        <v>3</v>
      </c>
      <c r="G50" s="31">
        <f t="shared" si="5"/>
        <v>3</v>
      </c>
      <c r="H50" s="31">
        <f t="shared" si="5"/>
        <v>3</v>
      </c>
      <c r="I50" s="31">
        <f t="shared" si="5"/>
        <v>4</v>
      </c>
      <c r="J50" s="31">
        <f t="shared" si="5"/>
        <v>3</v>
      </c>
      <c r="K50" s="31">
        <f t="shared" si="5"/>
        <v>2</v>
      </c>
      <c r="L50" s="31">
        <f t="shared" si="5"/>
        <v>5</v>
      </c>
      <c r="M50" s="31">
        <f>ROUND(MIN(M4:M10,M34:M45),0)</f>
        <v>3</v>
      </c>
      <c r="N50" s="31">
        <f>ROUND(MIN(N4:N10,N33:N45),0)</f>
        <v>3</v>
      </c>
      <c r="O50" s="31"/>
    </row>
    <row r="51">
      <c r="A51" s="51" t="s">
        <v>94</v>
      </c>
      <c r="B51" s="31">
        <f t="shared" ref="B51:L51" si="6">ROUND(MAX(B4:B10,B33:B45),0)</f>
        <v>13</v>
      </c>
      <c r="C51" s="31">
        <f t="shared" si="6"/>
        <v>5</v>
      </c>
      <c r="D51" s="31">
        <f t="shared" si="6"/>
        <v>6</v>
      </c>
      <c r="E51" s="31">
        <f t="shared" si="6"/>
        <v>11</v>
      </c>
      <c r="F51" s="31">
        <f t="shared" si="6"/>
        <v>23</v>
      </c>
      <c r="G51" s="31">
        <f t="shared" si="6"/>
        <v>4</v>
      </c>
      <c r="H51" s="31">
        <f t="shared" si="6"/>
        <v>6</v>
      </c>
      <c r="I51" s="31">
        <f t="shared" si="6"/>
        <v>11</v>
      </c>
      <c r="J51" s="31">
        <f t="shared" si="6"/>
        <v>12</v>
      </c>
      <c r="K51" s="31">
        <f t="shared" si="6"/>
        <v>15</v>
      </c>
      <c r="L51" s="31">
        <f t="shared" si="6"/>
        <v>24</v>
      </c>
      <c r="M51" s="31">
        <f>ROUND(MAX(M4:M10,M34:M45),0)</f>
        <v>9</v>
      </c>
      <c r="N51" s="31">
        <f>ROUND(MAX(N4:N10,N33:N45),0)</f>
        <v>11</v>
      </c>
      <c r="O51" s="31"/>
    </row>
    <row r="52">
      <c r="A52" s="40" t="s">
        <v>75</v>
      </c>
      <c r="B52" s="37">
        <f t="shared" ref="B52:L52" si="7">ROUND(AVERAGE(B11:B32),0)</f>
        <v>4</v>
      </c>
      <c r="C52" s="37">
        <f t="shared" si="7"/>
        <v>3</v>
      </c>
      <c r="D52" s="37">
        <f t="shared" si="7"/>
        <v>3</v>
      </c>
      <c r="E52" s="37">
        <f t="shared" si="7"/>
        <v>6</v>
      </c>
      <c r="F52" s="37">
        <f t="shared" si="7"/>
        <v>8</v>
      </c>
      <c r="G52" s="37">
        <f t="shared" si="7"/>
        <v>3</v>
      </c>
      <c r="H52" s="37">
        <f t="shared" si="7"/>
        <v>3</v>
      </c>
      <c r="I52" s="37">
        <f t="shared" si="7"/>
        <v>6</v>
      </c>
      <c r="J52" s="37">
        <f t="shared" si="7"/>
        <v>6</v>
      </c>
      <c r="K52" s="37">
        <f t="shared" si="7"/>
        <v>11</v>
      </c>
      <c r="L52" s="37">
        <f t="shared" si="7"/>
        <v>15</v>
      </c>
      <c r="M52" s="37">
        <f>ROUND(AVERAGE(M11:M33),0)</f>
        <v>5</v>
      </c>
      <c r="N52" s="37">
        <f>ROUND(AVERAGE(N11:N32),0)</f>
        <v>6</v>
      </c>
      <c r="O52" s="37"/>
    </row>
    <row r="53">
      <c r="A53" s="51" t="s">
        <v>93</v>
      </c>
      <c r="B53" s="31">
        <f t="shared" ref="B53:L53" si="8">ROUND(Min(B11:B32),0)</f>
        <v>3</v>
      </c>
      <c r="C53" s="31">
        <f t="shared" si="8"/>
        <v>2</v>
      </c>
      <c r="D53" s="31">
        <f t="shared" si="8"/>
        <v>2</v>
      </c>
      <c r="E53" s="31">
        <f t="shared" si="8"/>
        <v>4</v>
      </c>
      <c r="F53" s="31">
        <f t="shared" si="8"/>
        <v>4</v>
      </c>
      <c r="G53" s="31">
        <f t="shared" si="8"/>
        <v>2</v>
      </c>
      <c r="H53" s="31">
        <f t="shared" si="8"/>
        <v>3</v>
      </c>
      <c r="I53" s="31">
        <f t="shared" si="8"/>
        <v>4</v>
      </c>
      <c r="J53" s="31">
        <f t="shared" si="8"/>
        <v>3</v>
      </c>
      <c r="K53" s="31">
        <f t="shared" si="8"/>
        <v>7</v>
      </c>
      <c r="L53" s="31">
        <f t="shared" si="8"/>
        <v>5</v>
      </c>
      <c r="M53" s="31">
        <f>ROUND(Min(M11:M33),0)</f>
        <v>3</v>
      </c>
      <c r="N53" s="31">
        <f>ROUND(Min(N11:N32),0)</f>
        <v>4</v>
      </c>
      <c r="O53" s="31"/>
      <c r="P53" s="46"/>
      <c r="Q53" s="46"/>
      <c r="R53" s="46"/>
      <c r="S53" s="46"/>
      <c r="T53" s="46"/>
      <c r="U53" s="46"/>
      <c r="V53" s="46"/>
    </row>
    <row r="54">
      <c r="A54" s="51" t="s">
        <v>94</v>
      </c>
      <c r="B54" s="31">
        <f t="shared" ref="B54:L54" si="9">ROUND(MAX(B11:B32),0)</f>
        <v>7</v>
      </c>
      <c r="C54" s="31">
        <f t="shared" si="9"/>
        <v>4</v>
      </c>
      <c r="D54" s="31">
        <f t="shared" si="9"/>
        <v>5</v>
      </c>
      <c r="E54" s="31">
        <f t="shared" si="9"/>
        <v>11</v>
      </c>
      <c r="F54" s="31">
        <f t="shared" si="9"/>
        <v>16</v>
      </c>
      <c r="G54" s="31">
        <f t="shared" si="9"/>
        <v>4</v>
      </c>
      <c r="H54" s="31">
        <f t="shared" si="9"/>
        <v>4</v>
      </c>
      <c r="I54" s="31">
        <f t="shared" si="9"/>
        <v>8</v>
      </c>
      <c r="J54" s="31">
        <f t="shared" si="9"/>
        <v>9</v>
      </c>
      <c r="K54" s="31">
        <f t="shared" si="9"/>
        <v>20</v>
      </c>
      <c r="L54" s="31">
        <f t="shared" si="9"/>
        <v>22</v>
      </c>
      <c r="M54" s="31">
        <f>ROUND(MAX(M11:M33),0)</f>
        <v>9</v>
      </c>
      <c r="N54" s="31">
        <f>ROUND(MAX(N11:N32),0)</f>
        <v>10</v>
      </c>
      <c r="O54" s="31"/>
    </row>
    <row r="55">
      <c r="A55" s="40" t="s">
        <v>76</v>
      </c>
      <c r="B55" s="37">
        <f>ROUND( AVERAGE(B4,B8:B10,B14,B17,B20,B24:B25),0)</f>
        <v>3</v>
      </c>
      <c r="C55" s="37">
        <f t="shared" ref="C55:N55" si="10">ROUND(AVERAGE(C4,C8:C10,C14,C17,C20,C24:C25),0)</f>
        <v>4</v>
      </c>
      <c r="D55" s="37">
        <f t="shared" si="10"/>
        <v>4</v>
      </c>
      <c r="E55" s="37">
        <f t="shared" si="10"/>
        <v>8</v>
      </c>
      <c r="F55" s="37">
        <f t="shared" si="10"/>
        <v>11</v>
      </c>
      <c r="G55" s="37">
        <f t="shared" si="10"/>
        <v>4</v>
      </c>
      <c r="H55" s="37">
        <f t="shared" si="10"/>
        <v>4</v>
      </c>
      <c r="I55" s="37">
        <f t="shared" si="10"/>
        <v>6</v>
      </c>
      <c r="J55" s="37">
        <f t="shared" si="10"/>
        <v>7</v>
      </c>
      <c r="K55" s="37">
        <f t="shared" si="10"/>
        <v>11</v>
      </c>
      <c r="L55" s="37">
        <f t="shared" si="10"/>
        <v>16</v>
      </c>
      <c r="M55" s="37">
        <f t="shared" si="10"/>
        <v>4</v>
      </c>
      <c r="N55" s="37">
        <f t="shared" si="10"/>
        <v>6</v>
      </c>
      <c r="O55" s="37"/>
    </row>
    <row r="56">
      <c r="A56" s="51" t="s">
        <v>93</v>
      </c>
      <c r="B56" s="31">
        <f t="shared" ref="B56:N56" si="11">ROUND(Min(B4,B8:B10,B14,B17,B20,B24:B25),0)</f>
        <v>2</v>
      </c>
      <c r="C56" s="31">
        <f t="shared" si="11"/>
        <v>3</v>
      </c>
      <c r="D56" s="31">
        <f t="shared" si="11"/>
        <v>3</v>
      </c>
      <c r="E56" s="31">
        <f t="shared" si="11"/>
        <v>5</v>
      </c>
      <c r="F56" s="31">
        <f t="shared" si="11"/>
        <v>3</v>
      </c>
      <c r="G56" s="31">
        <f t="shared" si="11"/>
        <v>3</v>
      </c>
      <c r="H56" s="31">
        <f t="shared" si="11"/>
        <v>3</v>
      </c>
      <c r="I56" s="31">
        <f t="shared" si="11"/>
        <v>4</v>
      </c>
      <c r="J56" s="31">
        <f t="shared" si="11"/>
        <v>4</v>
      </c>
      <c r="K56" s="31">
        <f t="shared" si="11"/>
        <v>4</v>
      </c>
      <c r="L56" s="31">
        <f t="shared" si="11"/>
        <v>5</v>
      </c>
      <c r="M56" s="31">
        <f t="shared" si="11"/>
        <v>3</v>
      </c>
      <c r="N56" s="31">
        <f t="shared" si="11"/>
        <v>3</v>
      </c>
      <c r="O56" s="31"/>
    </row>
    <row r="57">
      <c r="A57" s="51" t="s">
        <v>94</v>
      </c>
      <c r="B57" s="31">
        <f t="shared" ref="B57:N57" si="12">ROUND(Max(B4,B8:B10,B14,B17,B20,B24:B25),0)</f>
        <v>5</v>
      </c>
      <c r="C57" s="31">
        <f t="shared" si="12"/>
        <v>5</v>
      </c>
      <c r="D57" s="31">
        <f t="shared" si="12"/>
        <v>5</v>
      </c>
      <c r="E57" s="31">
        <f t="shared" si="12"/>
        <v>11</v>
      </c>
      <c r="F57" s="31">
        <f t="shared" si="12"/>
        <v>23</v>
      </c>
      <c r="G57" s="31">
        <f t="shared" si="12"/>
        <v>4</v>
      </c>
      <c r="H57" s="31">
        <f t="shared" si="12"/>
        <v>4</v>
      </c>
      <c r="I57" s="31">
        <f t="shared" si="12"/>
        <v>11</v>
      </c>
      <c r="J57" s="31">
        <f t="shared" si="12"/>
        <v>12</v>
      </c>
      <c r="K57" s="31">
        <f t="shared" si="12"/>
        <v>20</v>
      </c>
      <c r="L57" s="31">
        <f t="shared" si="12"/>
        <v>22</v>
      </c>
      <c r="M57" s="31">
        <f t="shared" si="12"/>
        <v>5</v>
      </c>
      <c r="N57" s="31">
        <f t="shared" si="12"/>
        <v>11</v>
      </c>
      <c r="O57" s="31"/>
    </row>
    <row r="58">
      <c r="A58" s="40" t="s">
        <v>77</v>
      </c>
      <c r="B58" s="37">
        <f>ROUND( AVERAGE(B5:B6,B21,B23,B31,B33),0)</f>
        <v>4</v>
      </c>
      <c r="C58" s="37">
        <f t="shared" ref="C58:L58" si="13">ROUND(AVERAGE(C5:C6,C21,C23,C31,C33),0)</f>
        <v>4</v>
      </c>
      <c r="D58" s="37">
        <f t="shared" si="13"/>
        <v>5</v>
      </c>
      <c r="E58" s="37">
        <f t="shared" si="13"/>
        <v>7</v>
      </c>
      <c r="F58" s="37">
        <f t="shared" si="13"/>
        <v>8</v>
      </c>
      <c r="G58" s="37">
        <f t="shared" si="13"/>
        <v>4</v>
      </c>
      <c r="H58" s="37">
        <f t="shared" si="13"/>
        <v>4</v>
      </c>
      <c r="I58" s="37">
        <f t="shared" si="13"/>
        <v>6</v>
      </c>
      <c r="J58" s="37">
        <f t="shared" si="13"/>
        <v>7</v>
      </c>
      <c r="K58" s="37">
        <f t="shared" si="13"/>
        <v>11</v>
      </c>
      <c r="L58" s="37">
        <f t="shared" si="13"/>
        <v>12</v>
      </c>
      <c r="M58" s="37">
        <f>ROUND(AVERAGE(M5:M6,M21,M23,M32,M34),0)</f>
        <v>6</v>
      </c>
      <c r="N58" s="37">
        <f>ROUND(AVERAGE(N5:N6,N21,N23,N31,N33),0)</f>
        <v>6</v>
      </c>
      <c r="O58" s="37"/>
    </row>
    <row r="59">
      <c r="A59" s="51" t="s">
        <v>93</v>
      </c>
      <c r="B59" s="31">
        <f t="shared" ref="B59:L59" si="14">ROUND(MIN(B5:B6,B21,B23,B31,B33),0)</f>
        <v>3</v>
      </c>
      <c r="C59" s="31">
        <f t="shared" si="14"/>
        <v>3</v>
      </c>
      <c r="D59" s="31">
        <f t="shared" si="14"/>
        <v>3</v>
      </c>
      <c r="E59" s="31">
        <f t="shared" si="14"/>
        <v>5</v>
      </c>
      <c r="F59" s="31">
        <f t="shared" si="14"/>
        <v>6</v>
      </c>
      <c r="G59" s="31">
        <f t="shared" si="14"/>
        <v>3</v>
      </c>
      <c r="H59" s="31">
        <f t="shared" si="14"/>
        <v>3</v>
      </c>
      <c r="I59" s="31">
        <f t="shared" si="14"/>
        <v>4</v>
      </c>
      <c r="J59" s="31">
        <f t="shared" si="14"/>
        <v>3</v>
      </c>
      <c r="K59" s="31">
        <f t="shared" si="14"/>
        <v>9</v>
      </c>
      <c r="L59" s="31">
        <f t="shared" si="14"/>
        <v>5</v>
      </c>
      <c r="M59" s="31">
        <f>ROUND(MIN(M5:M6,M21,M23,M32,M34),0)</f>
        <v>4</v>
      </c>
      <c r="N59" s="31">
        <f>ROUND(MIN(N5:N6,N21,N23,N31,N33),0)</f>
        <v>4</v>
      </c>
      <c r="O59" s="31"/>
    </row>
    <row r="60">
      <c r="A60" s="51" t="s">
        <v>94</v>
      </c>
      <c r="B60" s="31">
        <f t="shared" ref="B60:L60" si="15">ROUND(MAX(B5:B6,B21,B23,B31,B33),0)</f>
        <v>7</v>
      </c>
      <c r="C60" s="31">
        <f t="shared" si="15"/>
        <v>4</v>
      </c>
      <c r="D60" s="31">
        <f t="shared" si="15"/>
        <v>6</v>
      </c>
      <c r="E60" s="31">
        <f t="shared" si="15"/>
        <v>8</v>
      </c>
      <c r="F60" s="31">
        <f t="shared" si="15"/>
        <v>10</v>
      </c>
      <c r="G60" s="31">
        <f t="shared" si="15"/>
        <v>4</v>
      </c>
      <c r="H60" s="31">
        <f t="shared" si="15"/>
        <v>6</v>
      </c>
      <c r="I60" s="31">
        <f t="shared" si="15"/>
        <v>9</v>
      </c>
      <c r="J60" s="31">
        <f t="shared" si="15"/>
        <v>11</v>
      </c>
      <c r="K60" s="31">
        <f t="shared" si="15"/>
        <v>15</v>
      </c>
      <c r="L60" s="31">
        <f t="shared" si="15"/>
        <v>24</v>
      </c>
      <c r="M60" s="31">
        <f>ROUND(MAX(M5:M6,M21,M23,M32,M34),0)</f>
        <v>9</v>
      </c>
      <c r="N60" s="31">
        <f>ROUND(MAX(N5:N6,N21,N23,N31,N33),0)</f>
        <v>6</v>
      </c>
      <c r="O60" s="31"/>
    </row>
    <row r="61">
      <c r="A61" s="45"/>
      <c r="B61" s="45"/>
    </row>
    <row r="62">
      <c r="A62" s="45"/>
      <c r="B62" s="45"/>
    </row>
    <row r="63">
      <c r="A63" s="45"/>
      <c r="B63" s="45"/>
    </row>
    <row r="64">
      <c r="A64" s="1" t="s">
        <v>79</v>
      </c>
      <c r="B64" s="45"/>
    </row>
    <row r="65">
      <c r="A65" s="45"/>
      <c r="B65" s="45"/>
    </row>
    <row r="66">
      <c r="A66" s="45"/>
      <c r="B66" s="45"/>
    </row>
    <row r="67">
      <c r="A67" s="45"/>
      <c r="B67" s="45"/>
    </row>
    <row r="68">
      <c r="A68" s="45"/>
      <c r="B68" s="45"/>
    </row>
    <row r="69">
      <c r="A69" s="45"/>
      <c r="B69" s="45"/>
    </row>
    <row r="70">
      <c r="A70" s="45"/>
      <c r="B70" s="45"/>
    </row>
    <row r="71">
      <c r="A71" s="45"/>
      <c r="B71" s="45"/>
    </row>
    <row r="72">
      <c r="A72" s="45"/>
      <c r="B72" s="45"/>
    </row>
    <row r="73">
      <c r="A73" s="45"/>
      <c r="B73" s="45"/>
    </row>
    <row r="74">
      <c r="A74" s="45"/>
      <c r="B74" s="45"/>
    </row>
    <row r="75">
      <c r="A75" s="45"/>
      <c r="B75" s="45"/>
    </row>
    <row r="76">
      <c r="A76" s="45"/>
      <c r="B76" s="45"/>
    </row>
    <row r="77">
      <c r="A77" s="45"/>
      <c r="B77" s="45"/>
    </row>
    <row r="78">
      <c r="A78" s="45"/>
      <c r="B78" s="45"/>
    </row>
    <row r="79">
      <c r="A79" s="45"/>
      <c r="B79" s="45"/>
    </row>
    <row r="80">
      <c r="A80" s="45"/>
      <c r="B80" s="45"/>
    </row>
    <row r="81">
      <c r="A81" s="45"/>
      <c r="B81" s="45"/>
    </row>
    <row r="82">
      <c r="A82" s="45"/>
      <c r="B82" s="45"/>
    </row>
    <row r="83">
      <c r="A83" s="45"/>
      <c r="B83" s="45"/>
    </row>
  </sheetData>
  <mergeCells count="1">
    <mergeCell ref="C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7.0"/>
    <col customWidth="1" min="3" max="4" width="7.75"/>
    <col customWidth="1" min="10" max="10" width="14.25"/>
    <col customWidth="1" min="11" max="11" width="15.63"/>
  </cols>
  <sheetData>
    <row r="1">
      <c r="A1" s="1" t="s">
        <v>80</v>
      </c>
    </row>
    <row r="2">
      <c r="A2" s="47"/>
      <c r="B2" s="48" t="s">
        <v>82</v>
      </c>
      <c r="K2" s="47"/>
      <c r="L2" s="47"/>
      <c r="M2" s="47"/>
      <c r="N2" s="47"/>
      <c r="O2" s="47"/>
      <c r="P2" s="47"/>
      <c r="Q2" s="47"/>
      <c r="R2" s="47"/>
    </row>
    <row r="3">
      <c r="A3" s="2" t="s">
        <v>1</v>
      </c>
      <c r="B3" s="50" t="s">
        <v>5</v>
      </c>
      <c r="C3" s="49" t="s">
        <v>6</v>
      </c>
      <c r="D3" s="49" t="s">
        <v>7</v>
      </c>
      <c r="E3" s="50" t="s">
        <v>87</v>
      </c>
      <c r="F3" s="49" t="s">
        <v>88</v>
      </c>
      <c r="G3" s="50" t="s">
        <v>89</v>
      </c>
      <c r="H3" s="49" t="s">
        <v>90</v>
      </c>
      <c r="I3" s="50" t="s">
        <v>91</v>
      </c>
      <c r="J3" s="49" t="s">
        <v>92</v>
      </c>
    </row>
    <row r="4">
      <c r="A4" s="6" t="s">
        <v>8</v>
      </c>
      <c r="B4" s="13">
        <v>0.0</v>
      </c>
      <c r="C4" s="54">
        <v>0.0</v>
      </c>
      <c r="D4" s="54">
        <v>0.0</v>
      </c>
      <c r="E4" s="13">
        <v>0.0</v>
      </c>
      <c r="F4" s="17">
        <v>0.0</v>
      </c>
      <c r="G4" s="13">
        <v>0.0</v>
      </c>
      <c r="H4" s="13">
        <v>1.0</v>
      </c>
      <c r="I4" s="13">
        <v>0.0</v>
      </c>
      <c r="J4" s="13">
        <v>0.0</v>
      </c>
    </row>
    <row r="5">
      <c r="A5" s="6" t="s">
        <v>9</v>
      </c>
      <c r="B5" s="13">
        <v>0.0</v>
      </c>
      <c r="C5" s="54">
        <v>0.0</v>
      </c>
      <c r="D5" s="54">
        <v>0.0</v>
      </c>
      <c r="E5" s="13">
        <v>0.0</v>
      </c>
      <c r="F5" s="17">
        <v>0.0</v>
      </c>
      <c r="G5" s="13">
        <v>0.0</v>
      </c>
      <c r="H5" s="13">
        <v>0.0</v>
      </c>
      <c r="I5" s="13">
        <v>0.0</v>
      </c>
      <c r="J5" s="13">
        <v>0.0</v>
      </c>
    </row>
    <row r="6">
      <c r="A6" s="6" t="s">
        <v>10</v>
      </c>
      <c r="B6" s="13">
        <v>0.0</v>
      </c>
      <c r="C6" s="54">
        <v>0.0</v>
      </c>
      <c r="D6" s="54">
        <v>0.0</v>
      </c>
      <c r="E6" s="13">
        <v>0.0</v>
      </c>
      <c r="F6" s="17">
        <v>0.0</v>
      </c>
      <c r="G6" s="13">
        <v>0.0</v>
      </c>
      <c r="H6" s="13">
        <v>2.0</v>
      </c>
      <c r="I6" s="13">
        <v>0.0</v>
      </c>
      <c r="J6" s="13">
        <v>0.0</v>
      </c>
    </row>
    <row r="7">
      <c r="A7" s="23" t="s">
        <v>11</v>
      </c>
      <c r="B7" s="13"/>
      <c r="C7" s="55"/>
      <c r="D7" s="55"/>
      <c r="E7" s="13"/>
      <c r="F7" s="32"/>
      <c r="G7" s="13"/>
      <c r="H7" s="13"/>
      <c r="I7" s="13"/>
      <c r="J7" s="13"/>
    </row>
    <row r="8">
      <c r="A8" s="6" t="s">
        <v>12</v>
      </c>
      <c r="B8" s="13">
        <v>0.0</v>
      </c>
      <c r="C8" s="54">
        <v>0.0</v>
      </c>
      <c r="D8" s="54">
        <v>0.0</v>
      </c>
      <c r="E8" s="13">
        <v>0.0</v>
      </c>
      <c r="F8" s="17">
        <v>3.0</v>
      </c>
      <c r="G8" s="13">
        <v>0.0</v>
      </c>
      <c r="H8" s="13">
        <v>0.0</v>
      </c>
      <c r="I8" s="13">
        <v>0.0</v>
      </c>
      <c r="J8" s="13">
        <v>0.0</v>
      </c>
    </row>
    <row r="9">
      <c r="A9" s="6" t="s">
        <v>13</v>
      </c>
      <c r="B9" s="13">
        <v>0.0</v>
      </c>
      <c r="C9" s="17">
        <v>9.0</v>
      </c>
      <c r="D9" s="17">
        <v>0.0</v>
      </c>
      <c r="E9" s="13">
        <v>1.0</v>
      </c>
      <c r="F9" s="17">
        <v>0.0</v>
      </c>
      <c r="G9" s="13">
        <v>9.0</v>
      </c>
      <c r="H9" s="13">
        <v>10.0</v>
      </c>
      <c r="I9" s="13">
        <v>0.0</v>
      </c>
      <c r="J9" s="13">
        <v>6.0</v>
      </c>
    </row>
    <row r="10">
      <c r="A10" s="6" t="s">
        <v>14</v>
      </c>
      <c r="B10" s="13">
        <v>0.0</v>
      </c>
      <c r="C10" s="54">
        <v>0.0</v>
      </c>
      <c r="D10" s="54">
        <v>0.0</v>
      </c>
      <c r="E10" s="13">
        <v>0.0</v>
      </c>
      <c r="F10" s="17">
        <v>0.0</v>
      </c>
      <c r="G10" s="13">
        <v>2.0</v>
      </c>
      <c r="H10" s="13">
        <v>0.0</v>
      </c>
      <c r="I10" s="13">
        <v>0.0</v>
      </c>
      <c r="J10" s="13">
        <v>0.0</v>
      </c>
    </row>
    <row r="11">
      <c r="A11" s="25" t="s">
        <v>16</v>
      </c>
      <c r="C11" s="28"/>
      <c r="D11" s="28"/>
      <c r="F11" s="31"/>
      <c r="K11" s="1"/>
    </row>
    <row r="12">
      <c r="A12" s="25" t="s">
        <v>19</v>
      </c>
      <c r="C12" s="28"/>
      <c r="D12" s="28"/>
      <c r="F12" s="31"/>
    </row>
    <row r="13">
      <c r="A13" s="25" t="s">
        <v>21</v>
      </c>
      <c r="C13" s="28"/>
      <c r="D13" s="28"/>
      <c r="F13" s="31"/>
    </row>
    <row r="14">
      <c r="A14" s="25" t="s">
        <v>23</v>
      </c>
      <c r="B14" s="7">
        <v>0.0</v>
      </c>
      <c r="C14" s="22">
        <v>0.0</v>
      </c>
      <c r="D14" s="22">
        <v>0.0</v>
      </c>
      <c r="E14" s="7">
        <v>0.0</v>
      </c>
      <c r="F14" s="7">
        <v>0.0</v>
      </c>
      <c r="G14" s="7">
        <v>0.0</v>
      </c>
      <c r="H14" s="7">
        <v>0.0</v>
      </c>
      <c r="I14" s="7">
        <v>0.0</v>
      </c>
      <c r="J14" s="7">
        <v>0.0</v>
      </c>
    </row>
    <row r="15">
      <c r="A15" s="25" t="s">
        <v>25</v>
      </c>
      <c r="B15" s="31"/>
      <c r="C15" s="28"/>
      <c r="D15" s="28"/>
      <c r="E15" s="31"/>
      <c r="F15" s="31"/>
      <c r="G15" s="31"/>
      <c r="H15" s="31"/>
      <c r="I15" s="31"/>
      <c r="J15" s="31"/>
    </row>
    <row r="16">
      <c r="A16" s="25" t="s">
        <v>27</v>
      </c>
      <c r="B16" s="31"/>
      <c r="C16" s="28"/>
      <c r="D16" s="28"/>
      <c r="E16" s="31"/>
      <c r="F16" s="31"/>
      <c r="G16" s="31"/>
      <c r="H16" s="31"/>
      <c r="I16" s="31"/>
      <c r="J16" s="31"/>
    </row>
    <row r="17">
      <c r="A17" s="25" t="s">
        <v>29</v>
      </c>
      <c r="B17" s="7">
        <v>0.0</v>
      </c>
      <c r="C17" s="7">
        <v>2.0</v>
      </c>
      <c r="D17" s="22">
        <v>0.0</v>
      </c>
      <c r="E17" s="7">
        <v>0.0</v>
      </c>
      <c r="F17" s="7">
        <v>0.0</v>
      </c>
      <c r="G17" s="7">
        <v>1.0</v>
      </c>
      <c r="H17" s="7">
        <v>2.0</v>
      </c>
      <c r="I17" s="7">
        <v>0.0</v>
      </c>
      <c r="J17" s="7">
        <v>0.0</v>
      </c>
    </row>
    <row r="18">
      <c r="A18" s="33" t="s">
        <v>31</v>
      </c>
      <c r="B18" s="31"/>
      <c r="C18" s="28"/>
      <c r="D18" s="28"/>
      <c r="E18" s="31"/>
      <c r="F18" s="31"/>
      <c r="G18" s="31"/>
      <c r="H18" s="31"/>
      <c r="I18" s="31"/>
      <c r="J18" s="31"/>
    </row>
    <row r="19">
      <c r="A19" s="33" t="s">
        <v>33</v>
      </c>
      <c r="B19" s="31"/>
      <c r="C19" s="28"/>
      <c r="D19" s="28"/>
      <c r="E19" s="31"/>
      <c r="F19" s="31"/>
      <c r="G19" s="31"/>
      <c r="H19" s="31"/>
      <c r="I19" s="31"/>
      <c r="J19" s="31"/>
    </row>
    <row r="20">
      <c r="A20" s="25" t="s">
        <v>35</v>
      </c>
      <c r="B20" s="7">
        <v>0.0</v>
      </c>
      <c r="C20" s="22">
        <v>0.0</v>
      </c>
      <c r="D20" s="22">
        <v>0.0</v>
      </c>
      <c r="E20" s="7">
        <v>0.0</v>
      </c>
      <c r="F20" s="7">
        <v>0.0</v>
      </c>
      <c r="G20" s="7">
        <v>0.0</v>
      </c>
      <c r="H20" s="7">
        <v>0.0</v>
      </c>
      <c r="I20" s="7">
        <v>0.0</v>
      </c>
      <c r="J20" s="7">
        <v>0.0</v>
      </c>
    </row>
    <row r="21">
      <c r="A21" s="25" t="s">
        <v>37</v>
      </c>
      <c r="B21" s="7">
        <v>0.0</v>
      </c>
      <c r="C21" s="22">
        <v>0.0</v>
      </c>
      <c r="D21" s="22">
        <v>0.0</v>
      </c>
      <c r="E21" s="7">
        <v>0.0</v>
      </c>
      <c r="F21" s="7">
        <v>0.0</v>
      </c>
      <c r="G21" s="7">
        <v>0.0</v>
      </c>
      <c r="H21" s="7">
        <v>0.0</v>
      </c>
      <c r="I21" s="7">
        <v>0.0</v>
      </c>
      <c r="J21" s="7">
        <v>0.0</v>
      </c>
    </row>
    <row r="22">
      <c r="A22" s="33" t="s">
        <v>39</v>
      </c>
      <c r="B22" s="31"/>
      <c r="C22" s="28"/>
      <c r="D22" s="28"/>
      <c r="E22" s="31"/>
      <c r="F22" s="31"/>
      <c r="G22" s="31"/>
      <c r="H22" s="31"/>
      <c r="I22" s="31"/>
      <c r="J22" s="31"/>
    </row>
    <row r="23">
      <c r="A23" s="25" t="s">
        <v>41</v>
      </c>
      <c r="B23" s="7">
        <v>0.0</v>
      </c>
      <c r="C23" s="22">
        <v>0.0</v>
      </c>
      <c r="D23" s="22">
        <v>0.0</v>
      </c>
      <c r="E23" s="7">
        <v>0.0</v>
      </c>
      <c r="F23" s="7">
        <v>0.0</v>
      </c>
      <c r="G23" s="7">
        <v>0.0</v>
      </c>
      <c r="H23" s="7">
        <v>0.0</v>
      </c>
      <c r="I23" s="7">
        <v>0.0</v>
      </c>
      <c r="J23" s="7">
        <v>0.0</v>
      </c>
    </row>
    <row r="24">
      <c r="A24" s="25" t="s">
        <v>43</v>
      </c>
      <c r="B24" s="7">
        <v>0.0</v>
      </c>
      <c r="C24" s="22">
        <v>0.0</v>
      </c>
      <c r="D24" s="22">
        <v>0.0</v>
      </c>
      <c r="E24" s="7">
        <v>0.0</v>
      </c>
      <c r="F24" s="7">
        <v>0.0</v>
      </c>
      <c r="G24" s="7">
        <v>4.0</v>
      </c>
      <c r="H24" s="7">
        <v>3.0</v>
      </c>
      <c r="I24" s="7">
        <v>0.0</v>
      </c>
      <c r="J24" s="7">
        <v>0.0</v>
      </c>
    </row>
    <row r="25">
      <c r="A25" s="25" t="s">
        <v>45</v>
      </c>
      <c r="B25" s="7">
        <v>0.0</v>
      </c>
      <c r="C25" s="22">
        <v>0.0</v>
      </c>
      <c r="D25" s="22">
        <v>0.0</v>
      </c>
      <c r="E25" s="7">
        <v>0.0</v>
      </c>
      <c r="F25" s="7">
        <v>0.0</v>
      </c>
      <c r="G25" s="7">
        <v>0.0</v>
      </c>
      <c r="H25" s="7">
        <v>0.0</v>
      </c>
      <c r="I25" s="7">
        <v>0.0</v>
      </c>
      <c r="J25" s="7">
        <v>0.0</v>
      </c>
    </row>
    <row r="26">
      <c r="A26" s="25" t="s">
        <v>47</v>
      </c>
      <c r="B26" s="31"/>
      <c r="C26" s="28"/>
      <c r="D26" s="28"/>
      <c r="E26" s="31"/>
      <c r="F26" s="31"/>
      <c r="G26" s="31"/>
      <c r="H26" s="31"/>
      <c r="I26" s="31"/>
      <c r="J26" s="31"/>
    </row>
    <row r="27">
      <c r="A27" s="25" t="s">
        <v>49</v>
      </c>
      <c r="B27" s="31"/>
      <c r="C27" s="56"/>
      <c r="D27" s="56"/>
      <c r="E27" s="31"/>
      <c r="F27" s="31"/>
      <c r="G27" s="31"/>
      <c r="H27" s="31"/>
      <c r="I27" s="31"/>
      <c r="J27" s="31"/>
    </row>
    <row r="28">
      <c r="A28" s="25" t="s">
        <v>51</v>
      </c>
      <c r="B28" s="31"/>
      <c r="C28" s="56"/>
      <c r="D28" s="56"/>
      <c r="E28" s="31"/>
      <c r="F28" s="31"/>
      <c r="G28" s="31"/>
      <c r="H28" s="31"/>
      <c r="I28" s="31"/>
      <c r="J28" s="31"/>
    </row>
    <row r="29">
      <c r="A29" s="25" t="s">
        <v>53</v>
      </c>
      <c r="B29" s="31"/>
      <c r="C29" s="56"/>
      <c r="D29" s="56"/>
      <c r="E29" s="31"/>
      <c r="F29" s="31"/>
      <c r="G29" s="31"/>
      <c r="H29" s="31"/>
      <c r="I29" s="31"/>
      <c r="J29" s="31"/>
    </row>
    <row r="30">
      <c r="A30" s="33" t="s">
        <v>55</v>
      </c>
      <c r="B30" s="31"/>
      <c r="C30" s="56"/>
      <c r="D30" s="56"/>
      <c r="E30" s="31"/>
      <c r="F30" s="31"/>
      <c r="G30" s="31"/>
      <c r="H30" s="31"/>
      <c r="I30" s="31"/>
      <c r="J30" s="31"/>
    </row>
    <row r="31">
      <c r="A31" s="25" t="s">
        <v>57</v>
      </c>
      <c r="B31" s="7">
        <v>0.0</v>
      </c>
      <c r="C31" s="22">
        <v>0.0</v>
      </c>
      <c r="D31" s="22">
        <v>0.0</v>
      </c>
      <c r="E31" s="7">
        <v>0.0</v>
      </c>
      <c r="F31" s="7">
        <v>0.0</v>
      </c>
      <c r="G31" s="7">
        <v>0.0</v>
      </c>
      <c r="H31" s="7">
        <v>0.0</v>
      </c>
      <c r="I31" s="7">
        <v>0.0</v>
      </c>
      <c r="J31" s="7">
        <v>0.0</v>
      </c>
    </row>
    <row r="32">
      <c r="A32" s="33" t="s">
        <v>59</v>
      </c>
      <c r="B32" s="31"/>
      <c r="C32" s="28"/>
      <c r="D32" s="28"/>
      <c r="E32" s="31"/>
      <c r="F32" s="31"/>
      <c r="G32" s="31"/>
      <c r="H32" s="31"/>
      <c r="I32" s="31"/>
      <c r="J32" s="31"/>
    </row>
    <row r="33">
      <c r="A33" s="6" t="s">
        <v>60</v>
      </c>
      <c r="B33" s="17">
        <v>0.0</v>
      </c>
      <c r="C33" s="17">
        <v>1.0</v>
      </c>
      <c r="D33" s="54">
        <v>0.0</v>
      </c>
      <c r="E33" s="17">
        <v>0.0</v>
      </c>
      <c r="F33" s="17">
        <v>0.0</v>
      </c>
      <c r="G33" s="17">
        <v>2.0</v>
      </c>
      <c r="H33" s="17">
        <v>1.0</v>
      </c>
      <c r="I33" s="17">
        <v>0.0</v>
      </c>
      <c r="J33" s="17">
        <v>0.0</v>
      </c>
    </row>
    <row r="34">
      <c r="A34" s="23" t="s">
        <v>61</v>
      </c>
      <c r="B34" s="32"/>
      <c r="C34" s="55"/>
      <c r="D34" s="55"/>
      <c r="E34" s="32"/>
      <c r="F34" s="32"/>
      <c r="G34" s="32"/>
      <c r="H34" s="32"/>
      <c r="I34" s="32"/>
      <c r="J34" s="32"/>
    </row>
    <row r="35">
      <c r="A35" s="23" t="s">
        <v>62</v>
      </c>
      <c r="B35" s="32"/>
      <c r="C35" s="55"/>
      <c r="D35" s="55"/>
      <c r="E35" s="32"/>
      <c r="F35" s="32"/>
      <c r="G35" s="32"/>
      <c r="H35" s="32"/>
      <c r="I35" s="32"/>
      <c r="J35" s="32"/>
    </row>
    <row r="36">
      <c r="A36" s="23" t="s">
        <v>63</v>
      </c>
      <c r="B36" s="32"/>
      <c r="C36" s="57"/>
      <c r="D36" s="57"/>
      <c r="E36" s="32"/>
      <c r="F36" s="32"/>
      <c r="G36" s="32"/>
      <c r="H36" s="32"/>
      <c r="I36" s="32"/>
      <c r="J36" s="32"/>
    </row>
    <row r="37">
      <c r="A37" s="23" t="s">
        <v>64</v>
      </c>
      <c r="B37" s="17">
        <v>0.0</v>
      </c>
      <c r="C37" s="54">
        <v>0.0</v>
      </c>
      <c r="D37" s="54">
        <v>0.0</v>
      </c>
      <c r="E37" s="17">
        <v>0.0</v>
      </c>
      <c r="F37" s="17">
        <v>0.0</v>
      </c>
      <c r="G37" s="17">
        <v>0.0</v>
      </c>
      <c r="H37" s="17">
        <v>0.0</v>
      </c>
      <c r="I37" s="17">
        <v>0.0</v>
      </c>
      <c r="J37" s="17">
        <v>0.0</v>
      </c>
    </row>
    <row r="38">
      <c r="A38" s="23" t="s">
        <v>65</v>
      </c>
      <c r="B38" s="32"/>
      <c r="C38" s="57"/>
      <c r="D38" s="57"/>
      <c r="E38" s="32"/>
      <c r="F38" s="32"/>
      <c r="G38" s="32"/>
      <c r="H38" s="32"/>
      <c r="I38" s="32"/>
      <c r="J38" s="32"/>
    </row>
    <row r="39">
      <c r="A39" s="23" t="s">
        <v>66</v>
      </c>
      <c r="B39" s="17">
        <v>0.0</v>
      </c>
      <c r="C39" s="54">
        <v>0.0</v>
      </c>
      <c r="D39" s="54">
        <v>0.0</v>
      </c>
      <c r="E39" s="17">
        <v>0.0</v>
      </c>
      <c r="F39" s="17">
        <v>0.0</v>
      </c>
      <c r="G39" s="17">
        <v>0.0</v>
      </c>
      <c r="H39" s="17">
        <v>0.0</v>
      </c>
      <c r="I39" s="17">
        <v>0.0</v>
      </c>
      <c r="J39" s="17">
        <v>0.0</v>
      </c>
    </row>
    <row r="40">
      <c r="A40" s="23" t="s">
        <v>67</v>
      </c>
      <c r="B40" s="32"/>
      <c r="C40" s="57"/>
      <c r="D40" s="57"/>
      <c r="E40" s="32"/>
      <c r="F40" s="32"/>
      <c r="G40" s="32"/>
      <c r="H40" s="32"/>
      <c r="I40" s="32"/>
      <c r="J40" s="32"/>
    </row>
    <row r="41">
      <c r="A41" s="23" t="s">
        <v>68</v>
      </c>
      <c r="B41" s="17">
        <v>0.0</v>
      </c>
      <c r="C41" s="17">
        <v>2.0</v>
      </c>
      <c r="D41" s="54">
        <v>0.0</v>
      </c>
      <c r="E41" s="17">
        <v>0.0</v>
      </c>
      <c r="F41" s="17">
        <v>0.0</v>
      </c>
      <c r="G41" s="17">
        <v>2.0</v>
      </c>
      <c r="H41" s="17">
        <v>1.0</v>
      </c>
      <c r="I41" s="17">
        <v>0.0</v>
      </c>
      <c r="J41" s="17">
        <v>0.0</v>
      </c>
    </row>
    <row r="42">
      <c r="A42" s="23" t="s">
        <v>69</v>
      </c>
      <c r="B42" s="32"/>
      <c r="C42" s="55"/>
      <c r="D42" s="55"/>
      <c r="E42" s="32"/>
      <c r="F42" s="32"/>
      <c r="G42" s="32"/>
      <c r="H42" s="32"/>
      <c r="I42" s="32"/>
      <c r="J42" s="32"/>
    </row>
    <row r="43">
      <c r="A43" s="23" t="s">
        <v>70</v>
      </c>
      <c r="B43" s="17">
        <v>0.0</v>
      </c>
      <c r="C43" s="54">
        <v>0.0</v>
      </c>
      <c r="D43" s="54">
        <v>0.0</v>
      </c>
      <c r="E43" s="17">
        <v>0.0</v>
      </c>
      <c r="F43" s="17">
        <v>0.0</v>
      </c>
      <c r="G43" s="17">
        <v>0.0</v>
      </c>
      <c r="H43" s="17">
        <v>0.0</v>
      </c>
      <c r="I43" s="17">
        <v>0.0</v>
      </c>
      <c r="J43" s="17">
        <v>0.0</v>
      </c>
    </row>
    <row r="44">
      <c r="A44" s="23" t="s">
        <v>71</v>
      </c>
      <c r="B44" s="17">
        <v>0.0</v>
      </c>
      <c r="C44" s="54">
        <v>0.0</v>
      </c>
      <c r="D44" s="54">
        <v>0.0</v>
      </c>
      <c r="E44" s="17">
        <v>0.0</v>
      </c>
      <c r="F44" s="17">
        <v>0.0</v>
      </c>
      <c r="G44" s="17">
        <v>0.0</v>
      </c>
      <c r="H44" s="17">
        <v>0.0</v>
      </c>
      <c r="I44" s="17">
        <v>0.0</v>
      </c>
      <c r="J44" s="17">
        <v>0.0</v>
      </c>
    </row>
    <row r="45">
      <c r="A45" s="23" t="s">
        <v>72</v>
      </c>
      <c r="B45" s="17">
        <v>0.0</v>
      </c>
      <c r="C45" s="54">
        <v>0.0</v>
      </c>
      <c r="D45" s="54">
        <v>0.0</v>
      </c>
      <c r="E45" s="17">
        <v>0.0</v>
      </c>
      <c r="F45" s="17">
        <v>0.0</v>
      </c>
      <c r="G45" s="17">
        <v>0.0</v>
      </c>
      <c r="H45" s="17">
        <v>0.0</v>
      </c>
      <c r="I45" s="17">
        <v>0.0</v>
      </c>
      <c r="J45" s="17">
        <v>0.0</v>
      </c>
    </row>
    <row r="46">
      <c r="A46" s="35" t="s">
        <v>73</v>
      </c>
      <c r="B46" s="37">
        <f t="shared" ref="B46:J46" si="1">AVERAGE(B4:B45)</f>
        <v>0</v>
      </c>
      <c r="C46" s="37">
        <f t="shared" si="1"/>
        <v>0.6666666667</v>
      </c>
      <c r="D46" s="37">
        <f t="shared" si="1"/>
        <v>0</v>
      </c>
      <c r="E46" s="37">
        <f t="shared" si="1"/>
        <v>0.04761904762</v>
      </c>
      <c r="F46" s="37">
        <f t="shared" si="1"/>
        <v>0.1428571429</v>
      </c>
      <c r="G46" s="37">
        <f t="shared" si="1"/>
        <v>0.9523809524</v>
      </c>
      <c r="H46" s="37">
        <f t="shared" si="1"/>
        <v>0.9523809524</v>
      </c>
      <c r="I46" s="37">
        <f t="shared" si="1"/>
        <v>0</v>
      </c>
      <c r="J46" s="37">
        <f t="shared" si="1"/>
        <v>0.2857142857</v>
      </c>
      <c r="K46" s="31"/>
    </row>
    <row r="47">
      <c r="A47" s="40" t="s">
        <v>74</v>
      </c>
      <c r="B47" s="37">
        <f t="shared" ref="B47:J47" si="2">AVERAGE(B4:B10,B33:B45)</f>
        <v>0</v>
      </c>
      <c r="C47" s="37">
        <f t="shared" si="2"/>
        <v>0.9230769231</v>
      </c>
      <c r="D47" s="37">
        <f t="shared" si="2"/>
        <v>0</v>
      </c>
      <c r="E47" s="37">
        <f t="shared" si="2"/>
        <v>0.07692307692</v>
      </c>
      <c r="F47" s="37">
        <f t="shared" si="2"/>
        <v>0.2307692308</v>
      </c>
      <c r="G47" s="37">
        <f t="shared" si="2"/>
        <v>1.153846154</v>
      </c>
      <c r="H47" s="37">
        <f t="shared" si="2"/>
        <v>1.153846154</v>
      </c>
      <c r="I47" s="37">
        <f t="shared" si="2"/>
        <v>0</v>
      </c>
      <c r="J47" s="37">
        <f t="shared" si="2"/>
        <v>0.4615384615</v>
      </c>
      <c r="K47" s="31"/>
      <c r="L47" s="46"/>
      <c r="M47" s="46"/>
      <c r="N47" s="46"/>
      <c r="O47" s="46"/>
      <c r="P47" s="46"/>
      <c r="Q47" s="46"/>
      <c r="R47" s="46"/>
    </row>
    <row r="48">
      <c r="A48" s="40" t="s">
        <v>75</v>
      </c>
      <c r="B48" s="37">
        <f t="shared" ref="B48:J48" si="3">AVERAGE(B11:B32)</f>
        <v>0</v>
      </c>
      <c r="C48" s="37">
        <f t="shared" si="3"/>
        <v>0.25</v>
      </c>
      <c r="D48" s="37">
        <f t="shared" si="3"/>
        <v>0</v>
      </c>
      <c r="E48" s="37">
        <f t="shared" si="3"/>
        <v>0</v>
      </c>
      <c r="F48" s="37">
        <f t="shared" si="3"/>
        <v>0</v>
      </c>
      <c r="G48" s="37">
        <f t="shared" si="3"/>
        <v>0.625</v>
      </c>
      <c r="H48" s="37">
        <f t="shared" si="3"/>
        <v>0.625</v>
      </c>
      <c r="I48" s="37">
        <f t="shared" si="3"/>
        <v>0</v>
      </c>
      <c r="J48" s="37">
        <f t="shared" si="3"/>
        <v>0</v>
      </c>
      <c r="K48" s="31"/>
    </row>
    <row r="49">
      <c r="A49" s="40" t="s">
        <v>76</v>
      </c>
      <c r="B49" s="37">
        <f t="shared" ref="B49:J49" si="4">AVERAGE(B4,B8:B10,B14,B17,B20,B24:B25)</f>
        <v>0</v>
      </c>
      <c r="C49" s="37">
        <f t="shared" si="4"/>
        <v>1.222222222</v>
      </c>
      <c r="D49" s="37">
        <f t="shared" si="4"/>
        <v>0</v>
      </c>
      <c r="E49" s="37">
        <f t="shared" si="4"/>
        <v>0.1111111111</v>
      </c>
      <c r="F49" s="37">
        <f t="shared" si="4"/>
        <v>0.3333333333</v>
      </c>
      <c r="G49" s="37">
        <f t="shared" si="4"/>
        <v>1.777777778</v>
      </c>
      <c r="H49" s="37">
        <f t="shared" si="4"/>
        <v>1.777777778</v>
      </c>
      <c r="I49" s="37">
        <f t="shared" si="4"/>
        <v>0</v>
      </c>
      <c r="J49" s="37">
        <f t="shared" si="4"/>
        <v>0.6666666667</v>
      </c>
      <c r="K49" s="31"/>
    </row>
    <row r="50">
      <c r="A50" s="40" t="s">
        <v>77</v>
      </c>
      <c r="B50" s="37">
        <f t="shared" ref="B50:J50" si="5">AVERAGE(B5:B6,B21,B23,B31,B33)</f>
        <v>0</v>
      </c>
      <c r="C50" s="37">
        <f t="shared" si="5"/>
        <v>0.1666666667</v>
      </c>
      <c r="D50" s="37">
        <f t="shared" si="5"/>
        <v>0</v>
      </c>
      <c r="E50" s="37">
        <f t="shared" si="5"/>
        <v>0</v>
      </c>
      <c r="F50" s="37">
        <f t="shared" si="5"/>
        <v>0</v>
      </c>
      <c r="G50" s="37">
        <f t="shared" si="5"/>
        <v>0.3333333333</v>
      </c>
      <c r="H50" s="37">
        <f t="shared" si="5"/>
        <v>0.5</v>
      </c>
      <c r="I50" s="37">
        <f t="shared" si="5"/>
        <v>0</v>
      </c>
      <c r="J50" s="37">
        <f t="shared" si="5"/>
        <v>0</v>
      </c>
      <c r="K50" s="31"/>
    </row>
    <row r="51">
      <c r="B51" s="52">
        <f t="shared" ref="B51:J51" si="6">MIN(B4:B45)</f>
        <v>0</v>
      </c>
      <c r="C51" s="52">
        <f t="shared" si="6"/>
        <v>0</v>
      </c>
      <c r="D51" s="52">
        <f t="shared" si="6"/>
        <v>0</v>
      </c>
      <c r="E51" s="52">
        <f t="shared" si="6"/>
        <v>0</v>
      </c>
      <c r="F51" s="52">
        <f t="shared" si="6"/>
        <v>0</v>
      </c>
      <c r="G51" s="52">
        <f t="shared" si="6"/>
        <v>0</v>
      </c>
      <c r="H51" s="52">
        <f t="shared" si="6"/>
        <v>0</v>
      </c>
      <c r="I51" s="52">
        <f t="shared" si="6"/>
        <v>0</v>
      </c>
      <c r="J51" s="52">
        <f t="shared" si="6"/>
        <v>0</v>
      </c>
    </row>
    <row r="52">
      <c r="A52" s="45"/>
      <c r="B52" s="52">
        <f t="shared" ref="B52:J52" si="7">MAX(B5:B46)</f>
        <v>0</v>
      </c>
      <c r="C52" s="52">
        <f t="shared" si="7"/>
        <v>9</v>
      </c>
      <c r="D52" s="52">
        <f t="shared" si="7"/>
        <v>0</v>
      </c>
      <c r="E52" s="52">
        <f t="shared" si="7"/>
        <v>1</v>
      </c>
      <c r="F52" s="52">
        <f t="shared" si="7"/>
        <v>3</v>
      </c>
      <c r="G52" s="52">
        <f t="shared" si="7"/>
        <v>9</v>
      </c>
      <c r="H52" s="52">
        <f t="shared" si="7"/>
        <v>10</v>
      </c>
      <c r="I52" s="52">
        <f t="shared" si="7"/>
        <v>0</v>
      </c>
      <c r="J52" s="52">
        <f t="shared" si="7"/>
        <v>6</v>
      </c>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row r="81">
      <c r="A81" s="45"/>
    </row>
    <row r="82">
      <c r="A82" s="45"/>
    </row>
    <row r="83">
      <c r="A83" s="45"/>
    </row>
  </sheetData>
  <mergeCells count="1">
    <mergeCell ref="B2:J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7.88"/>
    <col customWidth="1" min="4" max="4" width="18.88"/>
    <col customWidth="1" min="5" max="5" width="19.75"/>
    <col customWidth="1" min="6" max="6" width="16.75"/>
    <col customWidth="1" min="7" max="7" width="17.5"/>
  </cols>
  <sheetData>
    <row r="1">
      <c r="A1" s="1"/>
    </row>
    <row r="3">
      <c r="A3" s="2" t="s">
        <v>1</v>
      </c>
      <c r="B3" s="49" t="s">
        <v>98</v>
      </c>
      <c r="D3" s="49" t="s">
        <v>3</v>
      </c>
      <c r="F3" s="49" t="s">
        <v>4</v>
      </c>
    </row>
    <row r="4">
      <c r="B4" s="58" t="s">
        <v>99</v>
      </c>
      <c r="C4" s="58" t="s">
        <v>100</v>
      </c>
      <c r="D4" s="58" t="s">
        <v>99</v>
      </c>
      <c r="E4" s="58" t="s">
        <v>100</v>
      </c>
      <c r="F4" s="58" t="s">
        <v>99</v>
      </c>
      <c r="G4" s="58" t="s">
        <v>100</v>
      </c>
    </row>
    <row r="5">
      <c r="A5" s="59" t="s">
        <v>8</v>
      </c>
      <c r="B5" s="60">
        <v>82.02</v>
      </c>
      <c r="C5" s="7">
        <v>81.36</v>
      </c>
      <c r="D5" s="60">
        <v>86.41</v>
      </c>
      <c r="E5" s="7">
        <v>84.58</v>
      </c>
      <c r="F5" s="61">
        <v>100.0</v>
      </c>
      <c r="G5" s="1">
        <v>100.0</v>
      </c>
    </row>
    <row r="6">
      <c r="A6" s="59" t="s">
        <v>9</v>
      </c>
      <c r="B6" s="60">
        <v>79.84</v>
      </c>
      <c r="C6" s="7">
        <v>79.58</v>
      </c>
      <c r="D6" s="60">
        <v>84.13</v>
      </c>
      <c r="E6" s="7">
        <v>84.23</v>
      </c>
      <c r="F6" s="61">
        <v>100.0</v>
      </c>
      <c r="G6" s="1">
        <v>100.0</v>
      </c>
    </row>
    <row r="7">
      <c r="A7" s="59" t="s">
        <v>10</v>
      </c>
      <c r="B7" s="62">
        <v>82.63</v>
      </c>
      <c r="C7" s="7">
        <v>81.7</v>
      </c>
      <c r="D7" s="60">
        <v>84.33</v>
      </c>
      <c r="E7" s="7">
        <v>82.96</v>
      </c>
      <c r="F7" s="61">
        <v>100.0</v>
      </c>
      <c r="G7" s="1">
        <v>100.0</v>
      </c>
    </row>
    <row r="8">
      <c r="A8" s="63" t="s">
        <v>11</v>
      </c>
      <c r="B8" s="62">
        <v>80.73</v>
      </c>
      <c r="C8" s="7">
        <v>80.19</v>
      </c>
      <c r="D8" s="60">
        <v>81.87</v>
      </c>
      <c r="E8" s="7">
        <v>80.27</v>
      </c>
      <c r="F8" s="60">
        <v>100.0</v>
      </c>
      <c r="G8" s="1">
        <v>100.0</v>
      </c>
    </row>
    <row r="9">
      <c r="A9" s="59" t="s">
        <v>12</v>
      </c>
      <c r="B9" s="60">
        <v>81.65</v>
      </c>
      <c r="C9" s="15">
        <v>79.73</v>
      </c>
      <c r="D9" s="60">
        <v>83.35</v>
      </c>
      <c r="E9" s="7">
        <v>79.93</v>
      </c>
      <c r="F9" s="61">
        <v>100.0</v>
      </c>
      <c r="G9" s="1">
        <v>75.0</v>
      </c>
    </row>
    <row r="10">
      <c r="A10" s="59" t="s">
        <v>13</v>
      </c>
      <c r="B10" s="60">
        <v>81.77</v>
      </c>
      <c r="C10" s="7">
        <v>82.23</v>
      </c>
      <c r="D10" s="60">
        <v>81.02</v>
      </c>
      <c r="E10" s="7">
        <v>83.4</v>
      </c>
      <c r="F10" s="61">
        <v>93.33</v>
      </c>
      <c r="G10" s="1">
        <v>100.0</v>
      </c>
    </row>
    <row r="11">
      <c r="A11" s="59" t="s">
        <v>14</v>
      </c>
      <c r="B11" s="60">
        <v>83.43</v>
      </c>
      <c r="C11" s="7">
        <v>82.4</v>
      </c>
      <c r="D11" s="60">
        <v>85.58</v>
      </c>
      <c r="E11" s="7">
        <v>84.18</v>
      </c>
      <c r="F11" s="60">
        <v>100.0</v>
      </c>
      <c r="G11" s="1">
        <v>100.0</v>
      </c>
    </row>
    <row r="12">
      <c r="A12" s="63" t="s">
        <v>16</v>
      </c>
      <c r="B12" s="60">
        <v>79.42</v>
      </c>
      <c r="C12" s="7">
        <v>79.85</v>
      </c>
      <c r="D12" s="60"/>
      <c r="E12" s="7">
        <v>76.98</v>
      </c>
      <c r="F12" s="60">
        <v>100.0</v>
      </c>
      <c r="G12" s="1">
        <v>100.0</v>
      </c>
    </row>
    <row r="13">
      <c r="A13" s="63" t="s">
        <v>19</v>
      </c>
      <c r="B13" s="60">
        <v>79.67</v>
      </c>
      <c r="C13" s="7">
        <v>80.01</v>
      </c>
      <c r="D13" s="60"/>
      <c r="E13" s="7">
        <v>75.99</v>
      </c>
      <c r="F13" s="60">
        <v>100.0</v>
      </c>
      <c r="G13" s="1">
        <v>100.0</v>
      </c>
    </row>
    <row r="14">
      <c r="A14" s="63" t="s">
        <v>21</v>
      </c>
      <c r="B14" s="60">
        <v>79.46</v>
      </c>
      <c r="C14" s="7">
        <v>79.26</v>
      </c>
      <c r="D14" s="60">
        <v>63.38</v>
      </c>
      <c r="E14" s="7">
        <v>64.81</v>
      </c>
      <c r="F14" s="60">
        <v>100.0</v>
      </c>
      <c r="G14" s="1">
        <v>100.0</v>
      </c>
    </row>
    <row r="15">
      <c r="A15" s="59" t="s">
        <v>23</v>
      </c>
      <c r="B15" s="60">
        <v>82.73</v>
      </c>
      <c r="C15" s="7">
        <v>83.19</v>
      </c>
      <c r="D15" s="60">
        <v>86.45</v>
      </c>
      <c r="E15" s="7">
        <v>84.71</v>
      </c>
      <c r="F15" s="60">
        <v>100.0</v>
      </c>
      <c r="G15" s="1">
        <v>100.0</v>
      </c>
    </row>
    <row r="16">
      <c r="A16" s="63" t="s">
        <v>25</v>
      </c>
      <c r="B16" s="60">
        <v>80.64</v>
      </c>
      <c r="C16" s="7">
        <v>81.18</v>
      </c>
      <c r="D16" s="60"/>
      <c r="E16" s="7">
        <v>73.88</v>
      </c>
      <c r="F16" s="60">
        <v>100.0</v>
      </c>
      <c r="G16" s="1">
        <v>100.0</v>
      </c>
    </row>
    <row r="17">
      <c r="A17" s="63" t="s">
        <v>27</v>
      </c>
      <c r="B17" s="60">
        <v>80.84</v>
      </c>
      <c r="C17" s="7">
        <v>80.72</v>
      </c>
      <c r="D17" s="60"/>
      <c r="E17" s="7">
        <v>79.3</v>
      </c>
      <c r="F17" s="60">
        <v>100.0</v>
      </c>
      <c r="G17" s="1">
        <v>100.0</v>
      </c>
    </row>
    <row r="18">
      <c r="A18" s="59" t="s">
        <v>29</v>
      </c>
      <c r="B18" s="60">
        <v>84.29</v>
      </c>
      <c r="C18" s="7">
        <v>82.76</v>
      </c>
      <c r="D18" s="60">
        <v>78.84</v>
      </c>
      <c r="E18" s="7">
        <v>81.75</v>
      </c>
      <c r="F18" s="60">
        <v>100.0</v>
      </c>
      <c r="G18" s="1">
        <v>100.0</v>
      </c>
    </row>
    <row r="19">
      <c r="A19" s="63" t="s">
        <v>31</v>
      </c>
      <c r="B19" s="60">
        <v>80.53</v>
      </c>
      <c r="C19" s="7">
        <v>81.16</v>
      </c>
      <c r="D19" s="60"/>
      <c r="E19" s="7">
        <v>75.39</v>
      </c>
      <c r="F19" s="60">
        <v>100.0</v>
      </c>
      <c r="G19" s="1">
        <v>100.0</v>
      </c>
    </row>
    <row r="20">
      <c r="A20" s="63" t="s">
        <v>33</v>
      </c>
      <c r="B20" s="60">
        <v>81.61</v>
      </c>
      <c r="C20" s="7">
        <v>81.39</v>
      </c>
      <c r="D20" s="60">
        <v>74.28</v>
      </c>
      <c r="E20" s="7">
        <v>77.01</v>
      </c>
      <c r="F20" s="60">
        <v>100.0</v>
      </c>
      <c r="G20" s="1">
        <v>100.0</v>
      </c>
    </row>
    <row r="21">
      <c r="A21" s="59" t="s">
        <v>35</v>
      </c>
      <c r="B21" s="60">
        <v>84.85</v>
      </c>
      <c r="C21" s="7">
        <v>84.28</v>
      </c>
      <c r="D21" s="60">
        <v>87.35</v>
      </c>
      <c r="E21" s="7">
        <v>87.99</v>
      </c>
      <c r="F21" s="60">
        <v>100.0</v>
      </c>
      <c r="G21" s="1">
        <v>100.0</v>
      </c>
    </row>
    <row r="22">
      <c r="A22" s="59" t="s">
        <v>37</v>
      </c>
      <c r="B22" s="60">
        <v>80.22</v>
      </c>
      <c r="C22" s="7">
        <v>80.33</v>
      </c>
      <c r="D22" s="60">
        <v>75.54</v>
      </c>
      <c r="E22" s="7">
        <v>75.2</v>
      </c>
      <c r="F22" s="60">
        <v>100.0</v>
      </c>
      <c r="G22" s="1">
        <v>100.0</v>
      </c>
    </row>
    <row r="23">
      <c r="A23" s="63" t="s">
        <v>39</v>
      </c>
      <c r="B23" s="60">
        <v>79.85</v>
      </c>
      <c r="C23" s="7">
        <v>80.62</v>
      </c>
      <c r="D23" s="60"/>
      <c r="E23" s="7">
        <v>75.48</v>
      </c>
      <c r="F23" s="60">
        <v>100.0</v>
      </c>
      <c r="G23" s="1">
        <v>100.0</v>
      </c>
    </row>
    <row r="24">
      <c r="A24" s="59" t="s">
        <v>41</v>
      </c>
      <c r="B24" s="60">
        <v>81.92</v>
      </c>
      <c r="C24" s="7">
        <v>81.78</v>
      </c>
      <c r="D24" s="60">
        <v>86.58</v>
      </c>
      <c r="E24" s="7">
        <v>86.78</v>
      </c>
      <c r="F24" s="60">
        <v>100.0</v>
      </c>
      <c r="G24" s="1">
        <v>100.0</v>
      </c>
    </row>
    <row r="25">
      <c r="A25" s="59" t="s">
        <v>43</v>
      </c>
      <c r="B25" s="60">
        <v>82.56</v>
      </c>
      <c r="C25" s="7">
        <v>82.19</v>
      </c>
      <c r="D25" s="60">
        <v>84.08</v>
      </c>
      <c r="E25" s="7">
        <v>85.12</v>
      </c>
      <c r="F25" s="60">
        <v>100.0</v>
      </c>
      <c r="G25" s="1">
        <v>100.0</v>
      </c>
    </row>
    <row r="26">
      <c r="A26" s="59" t="s">
        <v>45</v>
      </c>
      <c r="B26" s="60">
        <v>82.59</v>
      </c>
      <c r="C26" s="7">
        <v>82.78</v>
      </c>
      <c r="D26" s="60">
        <v>87.49</v>
      </c>
      <c r="E26" s="7">
        <v>86.47</v>
      </c>
      <c r="F26" s="60">
        <v>100.0</v>
      </c>
      <c r="G26" s="1">
        <v>100.0</v>
      </c>
    </row>
    <row r="27">
      <c r="A27" s="63" t="s">
        <v>47</v>
      </c>
      <c r="B27" s="60">
        <v>80.13</v>
      </c>
      <c r="C27" s="7"/>
      <c r="D27" s="60"/>
      <c r="E27" s="7"/>
      <c r="F27" s="60">
        <v>100.0</v>
      </c>
      <c r="G27" s="1"/>
    </row>
    <row r="28">
      <c r="A28" s="59" t="s">
        <v>49</v>
      </c>
      <c r="B28" s="60">
        <v>82.38</v>
      </c>
      <c r="C28" s="7">
        <v>81.37</v>
      </c>
      <c r="D28" s="60">
        <v>77.28</v>
      </c>
      <c r="E28" s="7">
        <v>80.43</v>
      </c>
      <c r="F28" s="60">
        <v>100.0</v>
      </c>
      <c r="G28" s="1">
        <v>100.0</v>
      </c>
    </row>
    <row r="29">
      <c r="A29" s="63" t="s">
        <v>51</v>
      </c>
      <c r="B29" s="60">
        <v>81.44</v>
      </c>
      <c r="C29" s="7">
        <v>83.09</v>
      </c>
      <c r="D29" s="60">
        <v>82.31</v>
      </c>
      <c r="E29" s="7">
        <v>84.56</v>
      </c>
      <c r="F29" s="60">
        <v>100.0</v>
      </c>
      <c r="G29" s="1">
        <v>100.0</v>
      </c>
    </row>
    <row r="30">
      <c r="A30" s="59" t="s">
        <v>53</v>
      </c>
      <c r="B30" s="60">
        <v>82.41</v>
      </c>
      <c r="C30" s="7">
        <v>81.62</v>
      </c>
      <c r="D30" s="60">
        <v>83.11</v>
      </c>
      <c r="E30" s="7">
        <v>85.4</v>
      </c>
      <c r="F30" s="60">
        <v>100.0</v>
      </c>
      <c r="G30" s="1">
        <v>100.0</v>
      </c>
    </row>
    <row r="31">
      <c r="A31" s="63" t="s">
        <v>55</v>
      </c>
      <c r="B31" s="60">
        <v>81.34</v>
      </c>
      <c r="C31" s="7">
        <v>80.82</v>
      </c>
      <c r="D31" s="60">
        <v>71.61</v>
      </c>
      <c r="E31" s="7">
        <v>72.22</v>
      </c>
      <c r="F31" s="60">
        <v>100.0</v>
      </c>
      <c r="G31" s="1">
        <v>100.0</v>
      </c>
    </row>
    <row r="32">
      <c r="A32" s="59" t="s">
        <v>57</v>
      </c>
      <c r="B32" s="60">
        <v>83.41</v>
      </c>
      <c r="C32" s="7">
        <v>83.53</v>
      </c>
      <c r="D32" s="60">
        <v>78.46</v>
      </c>
      <c r="E32" s="7">
        <v>77.84</v>
      </c>
      <c r="F32" s="60">
        <v>100.0</v>
      </c>
      <c r="G32" s="1">
        <v>100.0</v>
      </c>
    </row>
    <row r="33">
      <c r="A33" s="63" t="s">
        <v>59</v>
      </c>
      <c r="B33" s="60">
        <v>80.09</v>
      </c>
      <c r="C33" s="7">
        <v>80.87</v>
      </c>
      <c r="D33" s="60"/>
      <c r="E33" s="7">
        <v>84.57</v>
      </c>
      <c r="F33" s="60">
        <v>100.0</v>
      </c>
      <c r="G33" s="1">
        <v>100.0</v>
      </c>
    </row>
    <row r="34">
      <c r="A34" s="59" t="s">
        <v>60</v>
      </c>
      <c r="B34" s="60">
        <v>81.85</v>
      </c>
      <c r="C34" s="7">
        <v>81.77</v>
      </c>
      <c r="D34" s="60">
        <v>85.9</v>
      </c>
      <c r="E34" s="7">
        <v>85.67</v>
      </c>
      <c r="F34" s="60">
        <v>100.0</v>
      </c>
      <c r="G34" s="1">
        <v>100.0</v>
      </c>
    </row>
    <row r="35">
      <c r="A35" s="63" t="s">
        <v>61</v>
      </c>
      <c r="B35" s="60">
        <v>85.23</v>
      </c>
      <c r="C35" s="7">
        <v>83.12</v>
      </c>
      <c r="D35" s="60">
        <v>87.61</v>
      </c>
      <c r="E35" s="7">
        <v>87.57</v>
      </c>
      <c r="F35" s="60">
        <v>100.0</v>
      </c>
      <c r="G35" s="1">
        <v>100.0</v>
      </c>
    </row>
    <row r="36">
      <c r="A36" s="59" t="s">
        <v>62</v>
      </c>
      <c r="B36" s="60">
        <v>80.68</v>
      </c>
      <c r="C36" s="7">
        <v>83.37</v>
      </c>
      <c r="D36" s="60">
        <v>79.34</v>
      </c>
      <c r="E36" s="7">
        <v>81.38</v>
      </c>
      <c r="F36" s="60">
        <v>71.42</v>
      </c>
      <c r="G36" s="1">
        <v>100.0</v>
      </c>
    </row>
    <row r="37">
      <c r="A37" s="63" t="s">
        <v>63</v>
      </c>
      <c r="B37" s="60">
        <v>81.58</v>
      </c>
      <c r="C37" s="7">
        <v>81.35</v>
      </c>
      <c r="D37" s="60"/>
      <c r="E37" s="7">
        <v>85.27</v>
      </c>
      <c r="F37" s="60">
        <v>100.0</v>
      </c>
      <c r="G37" s="1">
        <v>100.0</v>
      </c>
    </row>
    <row r="38">
      <c r="A38" s="63" t="s">
        <v>64</v>
      </c>
      <c r="B38" s="60">
        <v>80.54</v>
      </c>
      <c r="C38" s="7">
        <v>80.53</v>
      </c>
      <c r="D38" s="60">
        <v>81.13</v>
      </c>
      <c r="E38" s="7">
        <v>81.28</v>
      </c>
      <c r="F38" s="60">
        <v>100.0</v>
      </c>
      <c r="G38" s="1">
        <v>100.0</v>
      </c>
    </row>
    <row r="39">
      <c r="A39" s="63" t="s">
        <v>65</v>
      </c>
      <c r="B39" s="60">
        <v>80.29</v>
      </c>
      <c r="C39" s="7"/>
      <c r="D39" s="60">
        <v>71.02</v>
      </c>
      <c r="E39" s="7"/>
      <c r="F39" s="60">
        <v>93.75</v>
      </c>
      <c r="G39" s="1"/>
    </row>
    <row r="40">
      <c r="A40" s="63" t="s">
        <v>66</v>
      </c>
      <c r="B40" s="60">
        <v>82.22</v>
      </c>
      <c r="C40" s="7">
        <v>81.14</v>
      </c>
      <c r="D40" s="60">
        <v>80.62</v>
      </c>
      <c r="E40" s="7">
        <v>82.94</v>
      </c>
      <c r="F40" s="60">
        <v>100.0</v>
      </c>
      <c r="G40" s="1">
        <v>100.0</v>
      </c>
    </row>
    <row r="41">
      <c r="A41" s="63" t="s">
        <v>67</v>
      </c>
      <c r="B41" s="60">
        <v>79.34</v>
      </c>
      <c r="C41" s="7"/>
      <c r="D41" s="60">
        <v>60.81</v>
      </c>
      <c r="E41" s="7"/>
      <c r="F41" s="60">
        <v>100.0</v>
      </c>
      <c r="G41" s="1"/>
    </row>
    <row r="42">
      <c r="A42" s="63" t="s">
        <v>68</v>
      </c>
      <c r="B42" s="60">
        <v>80.19</v>
      </c>
      <c r="C42" s="7">
        <v>80.73</v>
      </c>
      <c r="D42" s="60">
        <v>76.48</v>
      </c>
      <c r="E42" s="7">
        <v>80.1</v>
      </c>
      <c r="F42" s="60">
        <v>100.0</v>
      </c>
      <c r="G42" s="1">
        <v>100.0</v>
      </c>
    </row>
    <row r="43">
      <c r="A43" s="63" t="s">
        <v>69</v>
      </c>
      <c r="B43" s="60">
        <v>80.15</v>
      </c>
      <c r="C43" s="7"/>
      <c r="D43" s="60">
        <v>78.23</v>
      </c>
      <c r="E43" s="7"/>
      <c r="F43" s="60">
        <v>87.5</v>
      </c>
      <c r="G43" s="1"/>
    </row>
    <row r="44">
      <c r="A44" s="63" t="s">
        <v>70</v>
      </c>
      <c r="B44" s="60">
        <v>81.15</v>
      </c>
      <c r="C44" s="1">
        <v>81.71</v>
      </c>
      <c r="D44" s="60">
        <v>84.56</v>
      </c>
      <c r="E44" s="7">
        <v>83.16</v>
      </c>
      <c r="F44" s="60">
        <v>100.0</v>
      </c>
      <c r="G44" s="1">
        <v>100.0</v>
      </c>
    </row>
    <row r="45">
      <c r="A45" s="63" t="s">
        <v>71</v>
      </c>
      <c r="B45" s="60">
        <v>83.71</v>
      </c>
      <c r="C45" s="7">
        <v>82.12</v>
      </c>
      <c r="D45" s="60">
        <v>77.01</v>
      </c>
      <c r="E45" s="7">
        <v>76.26</v>
      </c>
      <c r="F45" s="60">
        <v>100.0</v>
      </c>
      <c r="G45" s="1">
        <v>100.0</v>
      </c>
    </row>
    <row r="46">
      <c r="A46" s="63" t="s">
        <v>72</v>
      </c>
      <c r="B46" s="60">
        <v>82.0</v>
      </c>
      <c r="C46" s="7">
        <v>82.02</v>
      </c>
      <c r="D46" s="60">
        <v>85.26</v>
      </c>
      <c r="E46" s="7">
        <v>85.33</v>
      </c>
      <c r="F46" s="60">
        <v>100.0</v>
      </c>
      <c r="G46" s="1">
        <v>100.0</v>
      </c>
    </row>
    <row r="47">
      <c r="A47" s="35" t="s">
        <v>73</v>
      </c>
      <c r="B47" s="37">
        <f t="shared" ref="B47:G47" si="1">AVERAGE(B5:B46)</f>
        <v>81.50904762</v>
      </c>
      <c r="C47" s="37">
        <f t="shared" si="1"/>
        <v>81.52236842</v>
      </c>
      <c r="D47" s="37">
        <f t="shared" si="1"/>
        <v>80.34606061</v>
      </c>
      <c r="E47" s="37">
        <f t="shared" si="1"/>
        <v>81.06289474</v>
      </c>
      <c r="F47" s="37">
        <f t="shared" si="1"/>
        <v>98.71428571</v>
      </c>
      <c r="G47" s="37">
        <f t="shared" si="1"/>
        <v>99.34210526</v>
      </c>
    </row>
    <row r="48">
      <c r="A48" s="40" t="s">
        <v>74</v>
      </c>
      <c r="B48" s="37">
        <f t="shared" ref="B48:G48" si="2">AVERAGE(B5:B11,B34:B46)</f>
        <v>81.55</v>
      </c>
      <c r="C48" s="37">
        <f t="shared" si="2"/>
        <v>81.47352941</v>
      </c>
      <c r="D48" s="37">
        <f t="shared" si="2"/>
        <v>80.77157895</v>
      </c>
      <c r="E48" s="37">
        <f t="shared" si="2"/>
        <v>82.85352941</v>
      </c>
      <c r="F48" s="37">
        <f t="shared" si="2"/>
        <v>97.3</v>
      </c>
      <c r="G48" s="37">
        <f t="shared" si="2"/>
        <v>98.52941176</v>
      </c>
    </row>
    <row r="49">
      <c r="A49" s="40" t="s">
        <v>75</v>
      </c>
      <c r="B49" s="37">
        <f t="shared" ref="B49:G49" si="3">AVERAGE(B12:B33)</f>
        <v>81.47181818</v>
      </c>
      <c r="C49" s="37">
        <f t="shared" si="3"/>
        <v>81.56190476</v>
      </c>
      <c r="D49" s="37">
        <f t="shared" si="3"/>
        <v>79.76857143</v>
      </c>
      <c r="E49" s="37">
        <f t="shared" si="3"/>
        <v>79.61333333</v>
      </c>
      <c r="F49" s="37">
        <f t="shared" si="3"/>
        <v>100</v>
      </c>
      <c r="G49" s="37">
        <f t="shared" si="3"/>
        <v>100</v>
      </c>
    </row>
    <row r="50">
      <c r="A50" s="40" t="s">
        <v>76</v>
      </c>
      <c r="B50" s="37">
        <f t="shared" ref="B50:G50" si="4">AVERAGE(B5,B9:B11,B15,B18,B21,B25:B26)</f>
        <v>82.87666667</v>
      </c>
      <c r="C50" s="36">
        <f t="shared" si="4"/>
        <v>82.32444444</v>
      </c>
      <c r="D50" s="37">
        <f t="shared" si="4"/>
        <v>84.50777778</v>
      </c>
      <c r="E50" s="36">
        <f t="shared" si="4"/>
        <v>84.23666667</v>
      </c>
      <c r="F50" s="37">
        <f t="shared" si="4"/>
        <v>99.25888889</v>
      </c>
      <c r="G50" s="36">
        <f t="shared" si="4"/>
        <v>97.22222222</v>
      </c>
    </row>
    <row r="51">
      <c r="A51" s="40" t="s">
        <v>77</v>
      </c>
      <c r="B51" s="37">
        <f t="shared" ref="B51:G51" si="5">AVERAGE(B6:B7,B22,B24,B32,B34)</f>
        <v>81.645</v>
      </c>
      <c r="C51" s="37">
        <f t="shared" si="5"/>
        <v>81.44833333</v>
      </c>
      <c r="D51" s="37">
        <f t="shared" si="5"/>
        <v>82.49</v>
      </c>
      <c r="E51" s="37">
        <f t="shared" si="5"/>
        <v>82.11333333</v>
      </c>
      <c r="F51" s="37">
        <f t="shared" si="5"/>
        <v>100</v>
      </c>
      <c r="G51" s="37">
        <f t="shared" si="5"/>
        <v>100</v>
      </c>
    </row>
    <row r="52">
      <c r="A52" s="45"/>
      <c r="B52" s="4"/>
    </row>
    <row r="53">
      <c r="B53" s="4"/>
      <c r="C53" s="4"/>
    </row>
    <row r="54">
      <c r="A54" s="64"/>
      <c r="B54" s="7"/>
      <c r="C54" s="7"/>
    </row>
    <row r="55">
      <c r="A55" s="64"/>
      <c r="B55" s="7"/>
      <c r="C55" s="7"/>
    </row>
    <row r="56">
      <c r="A56" s="64"/>
      <c r="B56" s="7"/>
      <c r="C56" s="7"/>
    </row>
    <row r="57">
      <c r="A57" s="65"/>
      <c r="B57" s="7"/>
      <c r="C57" s="7"/>
    </row>
    <row r="58">
      <c r="A58" s="64"/>
      <c r="B58" s="7"/>
      <c r="C58" s="7"/>
    </row>
    <row r="59">
      <c r="A59" s="64"/>
      <c r="B59" s="7"/>
      <c r="C59" s="7"/>
    </row>
    <row r="60">
      <c r="A60" s="64"/>
      <c r="B60" s="7"/>
      <c r="C60" s="7"/>
    </row>
    <row r="61">
      <c r="A61" s="64"/>
      <c r="B61" s="7"/>
      <c r="C61" s="7"/>
    </row>
    <row r="62">
      <c r="A62" s="64"/>
      <c r="B62" s="7"/>
      <c r="C62" s="7"/>
    </row>
    <row r="63">
      <c r="A63" s="64"/>
      <c r="B63" s="7"/>
      <c r="C63" s="7"/>
    </row>
    <row r="64">
      <c r="A64" s="64"/>
      <c r="B64" s="7"/>
      <c r="C64" s="7"/>
    </row>
    <row r="65">
      <c r="A65" s="65"/>
      <c r="B65" s="7"/>
      <c r="C65" s="7"/>
    </row>
    <row r="66">
      <c r="A66" s="65"/>
      <c r="B66" s="7"/>
      <c r="C66" s="7"/>
    </row>
    <row r="67">
      <c r="A67" s="64"/>
      <c r="B67" s="7"/>
      <c r="C67" s="7"/>
    </row>
    <row r="68">
      <c r="A68" s="65"/>
      <c r="B68" s="7"/>
      <c r="C68" s="7"/>
    </row>
    <row r="69">
      <c r="A69" s="65"/>
      <c r="B69" s="7"/>
      <c r="C69" s="7"/>
    </row>
    <row r="70">
      <c r="A70" s="64"/>
      <c r="B70" s="7"/>
      <c r="C70" s="7"/>
    </row>
    <row r="71">
      <c r="A71" s="64"/>
      <c r="B71" s="7"/>
      <c r="C71" s="7"/>
    </row>
    <row r="72">
      <c r="A72" s="65"/>
      <c r="B72" s="7"/>
      <c r="C72" s="7"/>
    </row>
    <row r="73">
      <c r="A73" s="64"/>
      <c r="B73" s="7"/>
      <c r="C73" s="7"/>
    </row>
    <row r="74">
      <c r="A74" s="64"/>
      <c r="B74" s="7"/>
      <c r="C74" s="7"/>
    </row>
    <row r="75">
      <c r="A75" s="64"/>
      <c r="B75" s="7"/>
      <c r="C75" s="7"/>
    </row>
    <row r="76">
      <c r="A76" s="64"/>
      <c r="B76" s="7"/>
      <c r="C76" s="7"/>
    </row>
    <row r="77">
      <c r="A77" s="64"/>
      <c r="B77" s="7"/>
      <c r="C77" s="7"/>
    </row>
    <row r="78">
      <c r="A78" s="64"/>
      <c r="B78" s="7"/>
      <c r="C78" s="7"/>
    </row>
    <row r="79">
      <c r="A79" s="64"/>
      <c r="B79" s="7"/>
      <c r="C79" s="7"/>
    </row>
    <row r="80">
      <c r="A80" s="64"/>
      <c r="B80" s="7"/>
      <c r="C80" s="7"/>
    </row>
    <row r="81">
      <c r="A81" s="64"/>
      <c r="B81" s="7"/>
      <c r="C81" s="7"/>
    </row>
    <row r="82">
      <c r="A82" s="65"/>
      <c r="B82" s="7"/>
      <c r="C82" s="7"/>
    </row>
    <row r="83">
      <c r="A83" s="64"/>
      <c r="B83" s="7"/>
      <c r="C83" s="7"/>
    </row>
    <row r="84">
      <c r="A84" s="65"/>
      <c r="B84" s="7"/>
      <c r="C84" s="7"/>
    </row>
    <row r="85">
      <c r="A85" s="65"/>
      <c r="B85" s="7"/>
      <c r="C85" s="7"/>
    </row>
    <row r="86">
      <c r="A86" s="64"/>
      <c r="B86" s="7"/>
      <c r="C86" s="7"/>
    </row>
    <row r="87">
      <c r="A87" s="65"/>
      <c r="B87" s="7"/>
      <c r="C87" s="7"/>
    </row>
    <row r="88">
      <c r="A88" s="65"/>
      <c r="B88" s="7"/>
      <c r="C88" s="7"/>
    </row>
    <row r="89">
      <c r="A89" s="65"/>
      <c r="B89" s="7"/>
      <c r="C89" s="7"/>
    </row>
    <row r="90">
      <c r="A90" s="65"/>
      <c r="B90" s="7"/>
      <c r="C90" s="7"/>
    </row>
    <row r="91">
      <c r="A91" s="65"/>
      <c r="B91" s="7"/>
      <c r="C91" s="7"/>
    </row>
    <row r="92">
      <c r="A92" s="65"/>
      <c r="B92" s="7"/>
      <c r="C92" s="7"/>
    </row>
    <row r="93">
      <c r="A93" s="65"/>
      <c r="B93" s="7"/>
      <c r="C93" s="7"/>
    </row>
    <row r="94">
      <c r="A94" s="65"/>
      <c r="B94" s="7"/>
      <c r="C94" s="7"/>
    </row>
    <row r="95">
      <c r="A95" s="65"/>
      <c r="B95" s="7"/>
      <c r="C95" s="7"/>
    </row>
    <row r="96">
      <c r="A96" s="66"/>
      <c r="B96" s="31"/>
      <c r="C96" s="31"/>
    </row>
    <row r="97">
      <c r="A97" s="51"/>
      <c r="B97" s="31"/>
      <c r="C97" s="31"/>
    </row>
    <row r="98">
      <c r="A98" s="51"/>
      <c r="B98" s="31"/>
      <c r="C98" s="31"/>
    </row>
    <row r="99">
      <c r="A99" s="51"/>
      <c r="B99" s="31"/>
      <c r="C99" s="67"/>
    </row>
    <row r="100">
      <c r="A100" s="51"/>
      <c r="B100" s="31"/>
      <c r="C100" s="31"/>
    </row>
    <row r="101">
      <c r="A101" s="45"/>
      <c r="B101" s="4"/>
    </row>
    <row r="102">
      <c r="B102" s="4"/>
      <c r="C102" s="4"/>
    </row>
    <row r="103">
      <c r="A103" s="64"/>
      <c r="B103" s="31"/>
    </row>
    <row r="104">
      <c r="A104" s="64"/>
      <c r="B104" s="31"/>
    </row>
    <row r="105">
      <c r="A105" s="64"/>
      <c r="B105" s="31"/>
    </row>
    <row r="106">
      <c r="A106" s="65"/>
      <c r="B106" s="7"/>
    </row>
    <row r="107">
      <c r="A107" s="64"/>
      <c r="B107" s="31"/>
    </row>
    <row r="108">
      <c r="A108" s="64"/>
      <c r="B108" s="31"/>
    </row>
    <row r="109">
      <c r="A109" s="64"/>
      <c r="B109" s="7"/>
    </row>
    <row r="110">
      <c r="A110" s="64"/>
      <c r="B110" s="7"/>
    </row>
    <row r="111">
      <c r="A111" s="64"/>
      <c r="B111" s="7"/>
    </row>
    <row r="112">
      <c r="A112" s="64"/>
      <c r="B112" s="7"/>
    </row>
    <row r="113">
      <c r="A113" s="64"/>
      <c r="B113" s="7"/>
    </row>
    <row r="114">
      <c r="A114" s="64"/>
      <c r="B114" s="7"/>
    </row>
    <row r="115">
      <c r="A115" s="64"/>
      <c r="B115" s="7"/>
    </row>
    <row r="116">
      <c r="A116" s="64"/>
      <c r="B116" s="7"/>
    </row>
    <row r="117">
      <c r="A117" s="64"/>
      <c r="B117" s="7"/>
    </row>
    <row r="118">
      <c r="A118" s="64"/>
      <c r="B118" s="7"/>
    </row>
    <row r="119">
      <c r="A119" s="64"/>
      <c r="B119" s="7"/>
    </row>
    <row r="120">
      <c r="A120" s="64"/>
      <c r="B120" s="7"/>
    </row>
    <row r="121">
      <c r="A121" s="65"/>
      <c r="B121" s="7"/>
    </row>
    <row r="122">
      <c r="A122" s="64"/>
      <c r="B122" s="7"/>
    </row>
    <row r="123">
      <c r="A123" s="64"/>
      <c r="B123" s="7"/>
    </row>
    <row r="124">
      <c r="A124" s="64"/>
      <c r="B124" s="7"/>
    </row>
    <row r="125">
      <c r="A125" s="64"/>
      <c r="B125" s="7"/>
    </row>
    <row r="126">
      <c r="A126" s="64"/>
      <c r="B126" s="7"/>
    </row>
    <row r="127">
      <c r="A127" s="64"/>
      <c r="B127" s="7"/>
    </row>
    <row r="128">
      <c r="A128" s="64"/>
      <c r="B128" s="7"/>
    </row>
    <row r="129">
      <c r="A129" s="64"/>
      <c r="B129" s="7"/>
    </row>
    <row r="130">
      <c r="A130" s="64"/>
      <c r="B130" s="7"/>
    </row>
    <row r="131">
      <c r="A131" s="65"/>
      <c r="B131" s="7"/>
    </row>
    <row r="132">
      <c r="A132" s="64"/>
      <c r="B132" s="7"/>
    </row>
    <row r="133">
      <c r="A133" s="65"/>
      <c r="B133" s="7"/>
    </row>
    <row r="134">
      <c r="A134" s="64"/>
      <c r="B134" s="7"/>
    </row>
    <row r="135">
      <c r="A135" s="65"/>
      <c r="B135" s="7"/>
    </row>
    <row r="136">
      <c r="A136" s="65"/>
      <c r="B136" s="7"/>
    </row>
    <row r="137">
      <c r="A137" s="65"/>
      <c r="B137" s="7"/>
    </row>
    <row r="138">
      <c r="A138" s="65"/>
      <c r="B138" s="7"/>
    </row>
    <row r="139">
      <c r="A139" s="65"/>
      <c r="B139" s="7"/>
    </row>
    <row r="140">
      <c r="A140" s="65"/>
      <c r="B140" s="7"/>
    </row>
    <row r="141">
      <c r="A141" s="65"/>
      <c r="B141" s="7"/>
    </row>
    <row r="142">
      <c r="A142" s="65"/>
      <c r="B142" s="7"/>
    </row>
    <row r="143">
      <c r="A143" s="65"/>
      <c r="B143" s="7"/>
    </row>
    <row r="144">
      <c r="A144" s="65"/>
      <c r="B144" s="7"/>
    </row>
    <row r="145">
      <c r="A145" s="66"/>
      <c r="B145" s="31"/>
      <c r="C145" s="31"/>
    </row>
    <row r="146">
      <c r="A146" s="51"/>
      <c r="B146" s="31"/>
      <c r="C146" s="31"/>
    </row>
    <row r="147">
      <c r="A147" s="51"/>
      <c r="B147" s="31"/>
      <c r="C147" s="31"/>
    </row>
    <row r="148">
      <c r="A148" s="51"/>
      <c r="B148" s="31"/>
      <c r="C148" s="67"/>
    </row>
    <row r="149">
      <c r="A149" s="51"/>
      <c r="B149" s="31"/>
      <c r="C149" s="31"/>
    </row>
    <row r="150">
      <c r="A150" s="28"/>
      <c r="B150" s="4"/>
    </row>
    <row r="151">
      <c r="A151" s="66"/>
      <c r="B151" s="31"/>
      <c r="C151" s="31"/>
    </row>
    <row r="152">
      <c r="A152" s="51"/>
      <c r="B152" s="31"/>
      <c r="C152" s="31"/>
    </row>
    <row r="153">
      <c r="A153" s="51"/>
      <c r="B153" s="31"/>
      <c r="C153" s="67"/>
    </row>
    <row r="154">
      <c r="A154" s="51"/>
      <c r="B154" s="31"/>
      <c r="C154" s="67"/>
    </row>
    <row r="155">
      <c r="A155" s="51"/>
      <c r="B155" s="67"/>
      <c r="C155" s="31"/>
    </row>
  </sheetData>
  <mergeCells count="9">
    <mergeCell ref="D3:E3"/>
    <mergeCell ref="F3:G3"/>
    <mergeCell ref="A3:A4"/>
    <mergeCell ref="A52:A53"/>
    <mergeCell ref="A101:A102"/>
    <mergeCell ref="B3:C3"/>
    <mergeCell ref="B52:C52"/>
    <mergeCell ref="B101:C101"/>
    <mergeCell ref="B150:C15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7.88"/>
    <col customWidth="1" min="4" max="4" width="18.88"/>
    <col customWidth="1" min="5" max="5" width="19.75"/>
    <col customWidth="1" min="6" max="6" width="16.75"/>
    <col customWidth="1" min="7" max="7" width="17.5"/>
  </cols>
  <sheetData>
    <row r="1">
      <c r="A1" s="1"/>
    </row>
    <row r="3">
      <c r="A3" s="2" t="s">
        <v>1</v>
      </c>
      <c r="B3" s="49" t="s">
        <v>98</v>
      </c>
      <c r="D3" s="49" t="s">
        <v>3</v>
      </c>
      <c r="F3" s="49" t="s">
        <v>4</v>
      </c>
    </row>
    <row r="4">
      <c r="B4" s="58" t="s">
        <v>101</v>
      </c>
      <c r="C4" s="58" t="s">
        <v>100</v>
      </c>
      <c r="D4" s="58" t="s">
        <v>101</v>
      </c>
      <c r="E4" s="58" t="s">
        <v>100</v>
      </c>
      <c r="F4" s="58" t="s">
        <v>101</v>
      </c>
      <c r="G4" s="58" t="s">
        <v>100</v>
      </c>
    </row>
    <row r="5">
      <c r="A5" s="59" t="s">
        <v>8</v>
      </c>
      <c r="B5" s="60">
        <v>80.57</v>
      </c>
      <c r="C5" s="7">
        <v>80.87</v>
      </c>
      <c r="D5" s="60">
        <v>80.01</v>
      </c>
      <c r="E5" s="7">
        <v>80.12</v>
      </c>
      <c r="F5" s="60">
        <v>100.0</v>
      </c>
      <c r="G5" s="1">
        <v>95.23</v>
      </c>
    </row>
    <row r="6">
      <c r="A6" s="59" t="s">
        <v>9</v>
      </c>
      <c r="B6" s="60">
        <v>79.96</v>
      </c>
      <c r="C6" s="7">
        <v>80.29</v>
      </c>
      <c r="D6" s="60">
        <v>82.49</v>
      </c>
      <c r="E6" s="7">
        <v>82.22</v>
      </c>
      <c r="F6" s="60">
        <v>100.0</v>
      </c>
      <c r="G6" s="1">
        <v>100.0</v>
      </c>
    </row>
    <row r="7">
      <c r="A7" s="59" t="s">
        <v>10</v>
      </c>
      <c r="B7" s="62">
        <v>81.41</v>
      </c>
      <c r="C7" s="7">
        <v>78.28</v>
      </c>
      <c r="D7" s="60">
        <v>78.25</v>
      </c>
      <c r="E7" s="7">
        <v>80.69</v>
      </c>
      <c r="F7" s="60">
        <v>100.0</v>
      </c>
      <c r="G7" s="1">
        <v>75.0</v>
      </c>
    </row>
    <row r="8">
      <c r="A8" s="63" t="s">
        <v>11</v>
      </c>
      <c r="B8" s="62">
        <v>81.7</v>
      </c>
      <c r="C8" s="7">
        <v>78.84</v>
      </c>
      <c r="D8" s="60">
        <v>83.49</v>
      </c>
      <c r="E8" s="7">
        <v>76.3</v>
      </c>
      <c r="F8" s="60">
        <v>100.0</v>
      </c>
      <c r="G8" s="1">
        <v>100.0</v>
      </c>
    </row>
    <row r="9">
      <c r="A9" s="59" t="s">
        <v>12</v>
      </c>
      <c r="B9" s="60">
        <v>80.64</v>
      </c>
      <c r="C9" s="15">
        <v>82.26</v>
      </c>
      <c r="D9" s="60">
        <v>82.49</v>
      </c>
      <c r="E9" s="7">
        <v>80.79</v>
      </c>
      <c r="F9" s="60">
        <v>100.0</v>
      </c>
      <c r="G9" s="1">
        <v>100.0</v>
      </c>
    </row>
    <row r="10">
      <c r="A10" s="59" t="s">
        <v>13</v>
      </c>
      <c r="B10" s="60">
        <v>81.22</v>
      </c>
      <c r="C10" s="7">
        <v>78.97</v>
      </c>
      <c r="D10" s="60">
        <v>75.21</v>
      </c>
      <c r="E10" s="7">
        <v>78.03</v>
      </c>
      <c r="F10" s="60">
        <v>40.0</v>
      </c>
      <c r="G10" s="1">
        <v>33.33</v>
      </c>
    </row>
    <row r="11">
      <c r="A11" s="59" t="s">
        <v>14</v>
      </c>
      <c r="B11" s="60">
        <v>82.99</v>
      </c>
      <c r="C11" s="7">
        <v>85.12</v>
      </c>
      <c r="D11" s="60">
        <v>83.1</v>
      </c>
      <c r="E11" s="7">
        <v>81.82</v>
      </c>
      <c r="F11" s="60">
        <v>83.33</v>
      </c>
      <c r="G11" s="1">
        <v>100.0</v>
      </c>
    </row>
    <row r="12">
      <c r="A12" s="63" t="s">
        <v>16</v>
      </c>
      <c r="B12" s="60"/>
      <c r="C12" s="7"/>
      <c r="D12" s="60"/>
      <c r="E12" s="7">
        <v>75.26</v>
      </c>
      <c r="F12" s="60"/>
    </row>
    <row r="13">
      <c r="A13" s="63" t="s">
        <v>19</v>
      </c>
      <c r="B13" s="60">
        <v>79.62</v>
      </c>
      <c r="C13" s="7">
        <v>79.78</v>
      </c>
      <c r="D13" s="60">
        <v>73.37</v>
      </c>
      <c r="E13" s="7">
        <v>73.98</v>
      </c>
      <c r="F13" s="60">
        <v>100.0</v>
      </c>
      <c r="G13" s="1">
        <v>100.0</v>
      </c>
    </row>
    <row r="14">
      <c r="A14" s="63" t="s">
        <v>21</v>
      </c>
      <c r="B14" s="60">
        <v>79.59</v>
      </c>
      <c r="C14" s="7">
        <v>79.07</v>
      </c>
      <c r="D14" s="60">
        <v>63.14</v>
      </c>
      <c r="E14" s="7">
        <v>62.99</v>
      </c>
      <c r="F14" s="60">
        <v>100.0</v>
      </c>
      <c r="G14" s="1">
        <v>100.0</v>
      </c>
    </row>
    <row r="15">
      <c r="A15" s="59" t="s">
        <v>23</v>
      </c>
      <c r="B15" s="60">
        <v>83.53</v>
      </c>
      <c r="C15" s="7">
        <v>81.54</v>
      </c>
      <c r="D15" s="60">
        <v>80.26</v>
      </c>
      <c r="E15" s="7">
        <v>83.02</v>
      </c>
      <c r="F15" s="60">
        <v>100.0</v>
      </c>
      <c r="G15" s="1">
        <v>100.0</v>
      </c>
    </row>
    <row r="16">
      <c r="A16" s="63" t="s">
        <v>25</v>
      </c>
      <c r="B16" s="60">
        <v>81.1</v>
      </c>
      <c r="C16" s="7">
        <v>80.82</v>
      </c>
      <c r="D16" s="60">
        <v>73.07</v>
      </c>
      <c r="E16" s="7">
        <v>71.65</v>
      </c>
      <c r="F16" s="60">
        <v>100.0</v>
      </c>
      <c r="G16" s="1">
        <v>100.0</v>
      </c>
    </row>
    <row r="17">
      <c r="A17" s="63" t="s">
        <v>27</v>
      </c>
      <c r="B17" s="60">
        <v>81.3</v>
      </c>
      <c r="C17" s="7">
        <v>81.41</v>
      </c>
      <c r="D17" s="60">
        <v>77.36</v>
      </c>
      <c r="E17" s="7">
        <v>79.27</v>
      </c>
      <c r="F17" s="60">
        <v>100.0</v>
      </c>
      <c r="G17" s="1">
        <v>100.0</v>
      </c>
    </row>
    <row r="18">
      <c r="A18" s="59" t="s">
        <v>29</v>
      </c>
      <c r="B18" s="60">
        <v>85.91</v>
      </c>
      <c r="C18" s="7">
        <v>82.72</v>
      </c>
      <c r="D18" s="60">
        <v>79.58</v>
      </c>
      <c r="E18" s="7">
        <v>80.54</v>
      </c>
      <c r="F18" s="60">
        <v>80.0</v>
      </c>
      <c r="G18" s="1">
        <v>60.0</v>
      </c>
    </row>
    <row r="19">
      <c r="A19" s="63" t="s">
        <v>31</v>
      </c>
      <c r="B19" s="60"/>
      <c r="C19" s="7">
        <v>80.39</v>
      </c>
      <c r="D19" s="60"/>
      <c r="E19" s="7"/>
      <c r="F19" s="60"/>
    </row>
    <row r="20">
      <c r="A20" s="63" t="s">
        <v>33</v>
      </c>
      <c r="B20" s="60">
        <v>81.32</v>
      </c>
      <c r="C20" s="7">
        <v>81.23</v>
      </c>
      <c r="D20" s="60">
        <v>74.99</v>
      </c>
      <c r="E20" s="7">
        <v>75.69</v>
      </c>
      <c r="F20" s="60">
        <v>100.0</v>
      </c>
      <c r="G20" s="1">
        <v>100.0</v>
      </c>
    </row>
    <row r="21">
      <c r="A21" s="59" t="s">
        <v>35</v>
      </c>
      <c r="B21" s="60">
        <v>84.08</v>
      </c>
      <c r="C21" s="7">
        <v>84.46</v>
      </c>
      <c r="D21" s="60">
        <v>83.87</v>
      </c>
      <c r="E21" s="7">
        <v>86.28</v>
      </c>
      <c r="F21" s="60">
        <v>100.0</v>
      </c>
      <c r="G21" s="1">
        <v>100.0</v>
      </c>
    </row>
    <row r="22">
      <c r="A22" s="59" t="s">
        <v>37</v>
      </c>
      <c r="B22" s="60">
        <v>80.06</v>
      </c>
      <c r="C22" s="7">
        <v>80.71</v>
      </c>
      <c r="D22" s="60">
        <v>72.97</v>
      </c>
      <c r="E22" s="7">
        <v>71.06</v>
      </c>
      <c r="F22" s="60">
        <v>100.0</v>
      </c>
      <c r="G22" s="1">
        <v>100.0</v>
      </c>
    </row>
    <row r="23">
      <c r="A23" s="63" t="s">
        <v>39</v>
      </c>
      <c r="B23" s="60">
        <v>80.91</v>
      </c>
      <c r="C23" s="7">
        <v>80.22</v>
      </c>
      <c r="D23" s="60"/>
      <c r="E23" s="7"/>
      <c r="F23" s="60">
        <v>100.0</v>
      </c>
      <c r="G23" s="1">
        <v>100.0</v>
      </c>
    </row>
    <row r="24">
      <c r="A24" s="59" t="s">
        <v>41</v>
      </c>
      <c r="B24" s="60">
        <v>81.13</v>
      </c>
      <c r="C24" s="7">
        <v>81.16</v>
      </c>
      <c r="D24" s="60">
        <v>85.14</v>
      </c>
      <c r="E24" s="7">
        <v>84.64</v>
      </c>
      <c r="F24" s="60">
        <v>100.0</v>
      </c>
      <c r="G24" s="1">
        <v>100.0</v>
      </c>
    </row>
    <row r="25">
      <c r="A25" s="59" t="s">
        <v>43</v>
      </c>
      <c r="B25" s="60">
        <v>81.52</v>
      </c>
      <c r="C25" s="7">
        <v>81.43</v>
      </c>
      <c r="D25" s="60">
        <v>80.51</v>
      </c>
      <c r="E25" s="7">
        <v>79.91</v>
      </c>
      <c r="F25" s="60">
        <v>80.0</v>
      </c>
      <c r="G25" s="1">
        <v>100.0</v>
      </c>
    </row>
    <row r="26">
      <c r="A26" s="59" t="s">
        <v>45</v>
      </c>
      <c r="B26" s="60">
        <v>82.74</v>
      </c>
      <c r="C26" s="7">
        <v>83.51</v>
      </c>
      <c r="D26" s="60">
        <v>82.29</v>
      </c>
      <c r="E26" s="7">
        <v>82.57</v>
      </c>
      <c r="F26" s="60">
        <v>100.0</v>
      </c>
      <c r="G26" s="1">
        <v>100.0</v>
      </c>
    </row>
    <row r="27">
      <c r="A27" s="63" t="s">
        <v>47</v>
      </c>
      <c r="B27" s="60">
        <v>80.57</v>
      </c>
      <c r="C27" s="7">
        <v>81.35</v>
      </c>
      <c r="D27" s="60"/>
      <c r="E27" s="7"/>
      <c r="F27" s="60">
        <v>98.0</v>
      </c>
      <c r="G27" s="1">
        <v>100.0</v>
      </c>
    </row>
    <row r="28">
      <c r="A28" s="59" t="s">
        <v>49</v>
      </c>
      <c r="B28" s="60">
        <v>80.47</v>
      </c>
      <c r="C28" s="7">
        <v>81.45</v>
      </c>
      <c r="D28" s="60">
        <v>76.16</v>
      </c>
      <c r="E28" s="7">
        <v>77.61</v>
      </c>
      <c r="F28" s="60">
        <v>100.0</v>
      </c>
      <c r="G28" s="1">
        <v>100.0</v>
      </c>
    </row>
    <row r="29">
      <c r="A29" s="63" t="s">
        <v>51</v>
      </c>
      <c r="B29" s="60">
        <v>80.97</v>
      </c>
      <c r="C29" s="7">
        <v>81.17</v>
      </c>
      <c r="D29" s="60">
        <v>80.33</v>
      </c>
      <c r="E29" s="7">
        <v>81.5</v>
      </c>
      <c r="F29" s="60">
        <v>100.0</v>
      </c>
      <c r="G29" s="1">
        <v>100.0</v>
      </c>
    </row>
    <row r="30">
      <c r="A30" s="59" t="s">
        <v>53</v>
      </c>
      <c r="B30" s="60">
        <v>81.19</v>
      </c>
      <c r="C30" s="7">
        <v>81.49</v>
      </c>
      <c r="D30" s="60">
        <v>82.36</v>
      </c>
      <c r="E30" s="7">
        <v>82.09</v>
      </c>
      <c r="F30" s="60">
        <v>93.33</v>
      </c>
      <c r="G30" s="1">
        <v>100.0</v>
      </c>
    </row>
    <row r="31">
      <c r="A31" s="63" t="s">
        <v>55</v>
      </c>
      <c r="B31" s="60">
        <v>81.76</v>
      </c>
      <c r="C31" s="7">
        <v>81.44</v>
      </c>
      <c r="D31" s="60">
        <v>66.65</v>
      </c>
      <c r="E31" s="7">
        <v>70.01</v>
      </c>
      <c r="F31" s="60">
        <v>100.0</v>
      </c>
      <c r="G31" s="1">
        <v>100.0</v>
      </c>
    </row>
    <row r="32">
      <c r="A32" s="59" t="s">
        <v>57</v>
      </c>
      <c r="B32" s="60">
        <v>83.59</v>
      </c>
      <c r="C32" s="7">
        <v>82.8</v>
      </c>
      <c r="D32" s="60">
        <v>76.58</v>
      </c>
      <c r="E32" s="7">
        <v>76.62</v>
      </c>
      <c r="F32" s="60">
        <v>100.0</v>
      </c>
      <c r="G32" s="1">
        <v>100.0</v>
      </c>
    </row>
    <row r="33">
      <c r="A33" s="63" t="s">
        <v>59</v>
      </c>
      <c r="B33" s="60">
        <v>81.1</v>
      </c>
      <c r="C33" s="7">
        <v>81.46</v>
      </c>
      <c r="D33" s="60"/>
      <c r="E33" s="7"/>
      <c r="F33" s="60">
        <v>100.0</v>
      </c>
      <c r="G33" s="1">
        <v>100.0</v>
      </c>
    </row>
    <row r="34">
      <c r="A34" s="59" t="s">
        <v>60</v>
      </c>
      <c r="B34" s="60">
        <v>79.94</v>
      </c>
      <c r="C34" s="7">
        <v>79.89</v>
      </c>
      <c r="D34" s="60">
        <v>81.07</v>
      </c>
      <c r="E34" s="7">
        <v>82.14</v>
      </c>
      <c r="F34" s="60">
        <v>92.59</v>
      </c>
      <c r="G34" s="1">
        <v>96.29</v>
      </c>
    </row>
    <row r="35">
      <c r="A35" s="63" t="s">
        <v>61</v>
      </c>
      <c r="B35" s="60">
        <v>86.07</v>
      </c>
      <c r="C35" s="7">
        <v>84.57</v>
      </c>
      <c r="D35" s="60">
        <v>87.55</v>
      </c>
      <c r="E35" s="7">
        <v>87.25</v>
      </c>
      <c r="F35" s="60">
        <v>100.0</v>
      </c>
      <c r="G35" s="1">
        <v>100.0</v>
      </c>
    </row>
    <row r="36">
      <c r="A36" s="59" t="s">
        <v>62</v>
      </c>
      <c r="B36" s="60">
        <v>81.68</v>
      </c>
      <c r="C36" s="7">
        <v>82.87</v>
      </c>
      <c r="D36" s="60">
        <v>80.79</v>
      </c>
      <c r="E36" s="7">
        <v>80.4</v>
      </c>
      <c r="F36" s="60">
        <v>71.42</v>
      </c>
      <c r="G36" s="1">
        <v>71.42</v>
      </c>
    </row>
    <row r="37">
      <c r="A37" s="63" t="s">
        <v>63</v>
      </c>
      <c r="B37" s="60">
        <v>80.76</v>
      </c>
      <c r="C37" s="7">
        <v>78.51</v>
      </c>
      <c r="D37" s="60"/>
      <c r="E37" s="7"/>
      <c r="F37" s="60">
        <v>100.0</v>
      </c>
      <c r="G37" s="1">
        <v>100.0</v>
      </c>
    </row>
    <row r="38">
      <c r="A38" s="63" t="s">
        <v>64</v>
      </c>
      <c r="B38" s="60">
        <v>81.07</v>
      </c>
      <c r="C38" s="7">
        <v>79.92</v>
      </c>
      <c r="D38" s="60">
        <v>80.22</v>
      </c>
      <c r="E38" s="7">
        <v>79.3</v>
      </c>
      <c r="F38" s="60">
        <v>100.0</v>
      </c>
      <c r="G38" s="1">
        <v>100.0</v>
      </c>
    </row>
    <row r="39">
      <c r="A39" s="63" t="s">
        <v>65</v>
      </c>
      <c r="B39" s="60">
        <v>79.39</v>
      </c>
      <c r="C39" s="7">
        <v>78.51</v>
      </c>
      <c r="D39" s="60"/>
      <c r="E39" s="7">
        <v>78.54</v>
      </c>
      <c r="F39" s="60">
        <v>100.0</v>
      </c>
      <c r="G39" s="1">
        <v>68.75</v>
      </c>
    </row>
    <row r="40">
      <c r="A40" s="63" t="s">
        <v>66</v>
      </c>
      <c r="B40" s="60">
        <v>83.12</v>
      </c>
      <c r="C40" s="7">
        <v>82.75</v>
      </c>
      <c r="D40" s="60">
        <v>81.57</v>
      </c>
      <c r="E40" s="7"/>
      <c r="F40" s="60">
        <v>100.0</v>
      </c>
      <c r="G40" s="1">
        <v>100.0</v>
      </c>
    </row>
    <row r="41">
      <c r="A41" s="63" t="s">
        <v>67</v>
      </c>
      <c r="B41" s="60">
        <v>78.73</v>
      </c>
      <c r="C41" s="7">
        <v>78.96</v>
      </c>
      <c r="D41" s="60"/>
      <c r="E41" s="7"/>
      <c r="F41" s="60">
        <v>100.0</v>
      </c>
      <c r="G41" s="1">
        <v>100.0</v>
      </c>
    </row>
    <row r="42">
      <c r="A42" s="63" t="s">
        <v>68</v>
      </c>
      <c r="B42" s="60">
        <v>79.82</v>
      </c>
      <c r="C42" s="7">
        <v>82.02</v>
      </c>
      <c r="D42" s="60">
        <v>78.25</v>
      </c>
      <c r="E42" s="7"/>
      <c r="F42" s="60">
        <v>81.81</v>
      </c>
      <c r="G42" s="1">
        <v>90.9</v>
      </c>
    </row>
    <row r="43">
      <c r="A43" s="63" t="s">
        <v>69</v>
      </c>
      <c r="B43" s="60">
        <v>79.31</v>
      </c>
      <c r="C43" s="7">
        <v>79.59</v>
      </c>
      <c r="D43" s="60"/>
      <c r="E43" s="7">
        <v>71.66</v>
      </c>
      <c r="F43" s="60">
        <v>100.0</v>
      </c>
      <c r="G43" s="1">
        <v>100.0</v>
      </c>
    </row>
    <row r="44">
      <c r="A44" s="63" t="s">
        <v>70</v>
      </c>
      <c r="B44" s="60">
        <v>80.14</v>
      </c>
      <c r="C44" s="1">
        <v>83.29</v>
      </c>
      <c r="D44" s="60">
        <v>85.15</v>
      </c>
      <c r="E44" s="7">
        <v>79.46</v>
      </c>
      <c r="F44" s="60">
        <v>100.0</v>
      </c>
      <c r="G44" s="1">
        <v>100.0</v>
      </c>
    </row>
    <row r="45">
      <c r="A45" s="63" t="s">
        <v>71</v>
      </c>
      <c r="B45" s="60">
        <v>86.97</v>
      </c>
      <c r="C45" s="7">
        <v>85.79</v>
      </c>
      <c r="D45" s="60">
        <v>79.55</v>
      </c>
      <c r="E45" s="7">
        <v>76.42</v>
      </c>
      <c r="F45" s="60">
        <v>100.0</v>
      </c>
      <c r="G45" s="1">
        <v>100.0</v>
      </c>
    </row>
    <row r="46">
      <c r="A46" s="63" t="s">
        <v>72</v>
      </c>
      <c r="B46" s="60">
        <v>82.04</v>
      </c>
      <c r="C46" s="7">
        <v>81.92</v>
      </c>
      <c r="D46" s="60">
        <v>83.25</v>
      </c>
      <c r="E46" s="7">
        <v>84.52</v>
      </c>
      <c r="F46" s="60">
        <v>100.0</v>
      </c>
      <c r="G46" s="1">
        <v>100.0</v>
      </c>
    </row>
    <row r="47">
      <c r="A47" s="35" t="s">
        <v>73</v>
      </c>
      <c r="B47" s="37">
        <f t="shared" ref="B47:G47" si="1">AVERAGE(B5:B46)</f>
        <v>81.49975</v>
      </c>
      <c r="C47" s="37">
        <f t="shared" si="1"/>
        <v>81.28853659</v>
      </c>
      <c r="D47" s="37">
        <f t="shared" si="1"/>
        <v>79.12333333</v>
      </c>
      <c r="E47" s="37">
        <f t="shared" si="1"/>
        <v>78.65735294</v>
      </c>
      <c r="F47" s="37">
        <f t="shared" si="1"/>
        <v>95.512</v>
      </c>
      <c r="G47" s="37">
        <f t="shared" si="1"/>
        <v>94.773</v>
      </c>
    </row>
    <row r="48">
      <c r="A48" s="40" t="s">
        <v>74</v>
      </c>
      <c r="B48" s="37">
        <f t="shared" ref="B48:G48" si="2">AVERAGE(B5:B11,B34:B46)</f>
        <v>81.3765</v>
      </c>
      <c r="C48" s="37">
        <f t="shared" si="2"/>
        <v>81.161</v>
      </c>
      <c r="D48" s="37">
        <f t="shared" si="2"/>
        <v>81.4025</v>
      </c>
      <c r="E48" s="37">
        <f t="shared" si="2"/>
        <v>79.97875</v>
      </c>
      <c r="F48" s="37">
        <f t="shared" si="2"/>
        <v>93.4575</v>
      </c>
      <c r="G48" s="37">
        <f t="shared" si="2"/>
        <v>91.546</v>
      </c>
    </row>
    <row r="49">
      <c r="A49" s="40" t="s">
        <v>75</v>
      </c>
      <c r="B49" s="37">
        <f t="shared" ref="B49:G49" si="3">AVERAGE(B12:B33)</f>
        <v>81.623</v>
      </c>
      <c r="C49" s="37">
        <f t="shared" si="3"/>
        <v>81.41</v>
      </c>
      <c r="D49" s="37">
        <f t="shared" si="3"/>
        <v>76.97823529</v>
      </c>
      <c r="E49" s="37">
        <f t="shared" si="3"/>
        <v>77.48277778</v>
      </c>
      <c r="F49" s="37">
        <f t="shared" si="3"/>
        <v>97.5665</v>
      </c>
      <c r="G49" s="37">
        <f t="shared" si="3"/>
        <v>98</v>
      </c>
    </row>
    <row r="50">
      <c r="A50" s="40" t="s">
        <v>76</v>
      </c>
      <c r="B50" s="37">
        <f t="shared" ref="B50:G50" si="4">AVERAGE(B5,B9:B11,B15,B18,B21,B25:B26)</f>
        <v>82.57777778</v>
      </c>
      <c r="C50" s="36">
        <f t="shared" si="4"/>
        <v>82.32</v>
      </c>
      <c r="D50" s="37">
        <f t="shared" si="4"/>
        <v>80.81333333</v>
      </c>
      <c r="E50" s="36">
        <f t="shared" si="4"/>
        <v>81.45333333</v>
      </c>
      <c r="F50" s="37">
        <f t="shared" si="4"/>
        <v>87.03666667</v>
      </c>
      <c r="G50" s="36">
        <f t="shared" si="4"/>
        <v>87.61777778</v>
      </c>
    </row>
    <row r="51">
      <c r="A51" s="40" t="s">
        <v>77</v>
      </c>
      <c r="B51" s="37">
        <f t="shared" ref="B51:G51" si="5">AVERAGE(B6:B7,B22,B24,B32,B34)</f>
        <v>81.015</v>
      </c>
      <c r="C51" s="37">
        <f t="shared" si="5"/>
        <v>80.52166667</v>
      </c>
      <c r="D51" s="37">
        <f t="shared" si="5"/>
        <v>79.41666667</v>
      </c>
      <c r="E51" s="37">
        <f t="shared" si="5"/>
        <v>79.56166667</v>
      </c>
      <c r="F51" s="37">
        <f t="shared" si="5"/>
        <v>98.765</v>
      </c>
      <c r="G51" s="37">
        <f t="shared" si="5"/>
        <v>95.215</v>
      </c>
    </row>
    <row r="52">
      <c r="A52" s="45"/>
      <c r="B52" s="4"/>
    </row>
    <row r="53">
      <c r="B53" s="4"/>
      <c r="C53" s="4"/>
    </row>
    <row r="54">
      <c r="A54" s="64"/>
      <c r="B54" s="7"/>
      <c r="C54" s="7"/>
    </row>
    <row r="55">
      <c r="A55" s="64"/>
      <c r="B55" s="7"/>
      <c r="C55" s="7"/>
    </row>
    <row r="56">
      <c r="A56" s="64"/>
      <c r="B56" s="7"/>
      <c r="C56" s="7"/>
    </row>
    <row r="57">
      <c r="A57" s="65"/>
      <c r="B57" s="7"/>
      <c r="C57" s="7"/>
    </row>
    <row r="58">
      <c r="A58" s="64"/>
      <c r="B58" s="7"/>
      <c r="C58" s="7"/>
    </row>
    <row r="59">
      <c r="A59" s="64"/>
      <c r="B59" s="7"/>
      <c r="C59" s="7"/>
    </row>
    <row r="60">
      <c r="A60" s="64"/>
      <c r="B60" s="7"/>
      <c r="C60" s="7"/>
    </row>
    <row r="61">
      <c r="A61" s="64"/>
      <c r="B61" s="7"/>
      <c r="C61" s="7"/>
    </row>
    <row r="62">
      <c r="A62" s="64"/>
      <c r="B62" s="7"/>
      <c r="C62" s="7"/>
    </row>
    <row r="63">
      <c r="A63" s="64"/>
      <c r="B63" s="7"/>
      <c r="C63" s="7"/>
    </row>
    <row r="64">
      <c r="A64" s="64"/>
      <c r="B64" s="7"/>
      <c r="C64" s="7"/>
    </row>
    <row r="65">
      <c r="A65" s="65"/>
      <c r="B65" s="7"/>
      <c r="C65" s="7"/>
    </row>
    <row r="66">
      <c r="A66" s="65"/>
      <c r="B66" s="7"/>
      <c r="C66" s="7"/>
    </row>
    <row r="67">
      <c r="A67" s="64"/>
      <c r="B67" s="7"/>
      <c r="C67" s="7"/>
    </row>
    <row r="68">
      <c r="A68" s="65"/>
      <c r="B68" s="7"/>
      <c r="C68" s="7"/>
    </row>
    <row r="69">
      <c r="A69" s="65"/>
      <c r="B69" s="7"/>
      <c r="C69" s="7"/>
    </row>
    <row r="70">
      <c r="A70" s="64"/>
      <c r="B70" s="7"/>
      <c r="C70" s="7"/>
    </row>
    <row r="71">
      <c r="A71" s="64"/>
      <c r="B71" s="7"/>
      <c r="C71" s="7"/>
    </row>
    <row r="72">
      <c r="A72" s="65"/>
      <c r="B72" s="7"/>
      <c r="C72" s="7"/>
    </row>
    <row r="73">
      <c r="A73" s="64"/>
      <c r="B73" s="7"/>
      <c r="C73" s="7"/>
    </row>
    <row r="74">
      <c r="A74" s="64"/>
      <c r="B74" s="7"/>
      <c r="C74" s="7"/>
    </row>
    <row r="75">
      <c r="A75" s="64"/>
      <c r="B75" s="7"/>
      <c r="C75" s="7"/>
    </row>
    <row r="76">
      <c r="A76" s="64"/>
      <c r="B76" s="7"/>
      <c r="C76" s="7"/>
    </row>
    <row r="77">
      <c r="A77" s="64"/>
      <c r="B77" s="7"/>
      <c r="C77" s="7"/>
    </row>
    <row r="78">
      <c r="A78" s="64"/>
      <c r="B78" s="7"/>
      <c r="C78" s="7"/>
    </row>
    <row r="79">
      <c r="A79" s="64"/>
      <c r="B79" s="7"/>
      <c r="C79" s="7"/>
    </row>
    <row r="80">
      <c r="A80" s="64"/>
      <c r="B80" s="7"/>
      <c r="C80" s="7"/>
    </row>
    <row r="81">
      <c r="A81" s="64"/>
      <c r="B81" s="7"/>
      <c r="C81" s="7"/>
    </row>
    <row r="82">
      <c r="A82" s="65"/>
      <c r="B82" s="7"/>
      <c r="C82" s="7"/>
    </row>
    <row r="83">
      <c r="A83" s="64"/>
      <c r="B83" s="7"/>
      <c r="C83" s="7"/>
    </row>
    <row r="84">
      <c r="A84" s="65"/>
      <c r="B84" s="7"/>
      <c r="C84" s="7"/>
    </row>
    <row r="85">
      <c r="A85" s="65"/>
      <c r="B85" s="7"/>
      <c r="C85" s="7"/>
    </row>
    <row r="86">
      <c r="A86" s="64"/>
      <c r="B86" s="7"/>
      <c r="C86" s="7"/>
    </row>
    <row r="87">
      <c r="A87" s="65"/>
      <c r="B87" s="7"/>
      <c r="C87" s="7"/>
    </row>
    <row r="88">
      <c r="A88" s="65"/>
      <c r="B88" s="7"/>
      <c r="C88" s="7"/>
    </row>
    <row r="89">
      <c r="A89" s="65"/>
      <c r="B89" s="7"/>
      <c r="C89" s="7"/>
    </row>
    <row r="90">
      <c r="A90" s="65"/>
      <c r="B90" s="7"/>
      <c r="C90" s="7"/>
    </row>
    <row r="91">
      <c r="A91" s="65"/>
      <c r="B91" s="7"/>
      <c r="C91" s="7"/>
    </row>
    <row r="92">
      <c r="A92" s="65"/>
      <c r="B92" s="7"/>
      <c r="C92" s="7"/>
    </row>
    <row r="93">
      <c r="A93" s="65"/>
      <c r="B93" s="7"/>
      <c r="C93" s="7"/>
    </row>
    <row r="94">
      <c r="A94" s="65"/>
      <c r="B94" s="7"/>
      <c r="C94" s="7"/>
    </row>
    <row r="95">
      <c r="A95" s="65"/>
      <c r="B95" s="7"/>
      <c r="C95" s="7"/>
    </row>
    <row r="96">
      <c r="A96" s="66"/>
      <c r="B96" s="31"/>
      <c r="C96" s="31"/>
    </row>
    <row r="97">
      <c r="A97" s="51"/>
      <c r="B97" s="31"/>
      <c r="C97" s="31"/>
    </row>
    <row r="98">
      <c r="A98" s="51"/>
      <c r="B98" s="31"/>
      <c r="C98" s="31"/>
    </row>
    <row r="99">
      <c r="A99" s="51"/>
      <c r="B99" s="31"/>
      <c r="C99" s="67"/>
    </row>
    <row r="100">
      <c r="A100" s="51"/>
      <c r="B100" s="31"/>
      <c r="C100" s="31"/>
    </row>
    <row r="101">
      <c r="A101" s="45"/>
      <c r="B101" s="4"/>
    </row>
    <row r="102">
      <c r="B102" s="4"/>
      <c r="C102" s="4"/>
    </row>
    <row r="103">
      <c r="A103" s="64"/>
      <c r="B103" s="31"/>
    </row>
    <row r="104">
      <c r="A104" s="64"/>
      <c r="B104" s="31"/>
    </row>
    <row r="105">
      <c r="A105" s="64"/>
      <c r="B105" s="31"/>
    </row>
    <row r="106">
      <c r="A106" s="65"/>
      <c r="B106" s="7"/>
    </row>
    <row r="107">
      <c r="A107" s="64"/>
      <c r="B107" s="31"/>
    </row>
    <row r="108">
      <c r="A108" s="64"/>
      <c r="B108" s="31"/>
    </row>
    <row r="109">
      <c r="A109" s="64"/>
      <c r="B109" s="7"/>
    </row>
    <row r="110">
      <c r="A110" s="64"/>
      <c r="B110" s="7"/>
    </row>
    <row r="111">
      <c r="A111" s="64"/>
      <c r="B111" s="7"/>
    </row>
    <row r="112">
      <c r="A112" s="64"/>
      <c r="B112" s="7"/>
    </row>
    <row r="113">
      <c r="A113" s="64"/>
      <c r="B113" s="7"/>
    </row>
    <row r="114">
      <c r="A114" s="64"/>
      <c r="B114" s="7"/>
    </row>
    <row r="115">
      <c r="A115" s="64"/>
      <c r="B115" s="7"/>
    </row>
    <row r="116">
      <c r="A116" s="64"/>
      <c r="B116" s="7"/>
    </row>
    <row r="117">
      <c r="A117" s="64"/>
      <c r="B117" s="7"/>
    </row>
    <row r="118">
      <c r="A118" s="64"/>
      <c r="B118" s="7"/>
    </row>
    <row r="119">
      <c r="A119" s="64"/>
      <c r="B119" s="7"/>
    </row>
    <row r="120">
      <c r="A120" s="64"/>
      <c r="B120" s="7"/>
    </row>
    <row r="121">
      <c r="A121" s="65"/>
      <c r="B121" s="7"/>
    </row>
    <row r="122">
      <c r="A122" s="64"/>
      <c r="B122" s="7"/>
    </row>
    <row r="123">
      <c r="A123" s="64"/>
      <c r="B123" s="7"/>
    </row>
    <row r="124">
      <c r="A124" s="64"/>
      <c r="B124" s="7"/>
    </row>
    <row r="125">
      <c r="A125" s="64"/>
      <c r="B125" s="7"/>
    </row>
    <row r="126">
      <c r="A126" s="64"/>
      <c r="B126" s="7"/>
    </row>
    <row r="127">
      <c r="A127" s="64"/>
      <c r="B127" s="7"/>
    </row>
    <row r="128">
      <c r="A128" s="64"/>
      <c r="B128" s="7"/>
    </row>
    <row r="129">
      <c r="A129" s="64"/>
      <c r="B129" s="7"/>
    </row>
    <row r="130">
      <c r="A130" s="64"/>
      <c r="B130" s="7"/>
    </row>
    <row r="131">
      <c r="A131" s="65"/>
      <c r="B131" s="7"/>
    </row>
    <row r="132">
      <c r="A132" s="64"/>
      <c r="B132" s="7"/>
    </row>
    <row r="133">
      <c r="A133" s="65"/>
      <c r="B133" s="7"/>
    </row>
    <row r="134">
      <c r="A134" s="64"/>
      <c r="B134" s="7"/>
    </row>
    <row r="135">
      <c r="A135" s="65"/>
      <c r="B135" s="7"/>
    </row>
    <row r="136">
      <c r="A136" s="65"/>
      <c r="B136" s="7"/>
    </row>
    <row r="137">
      <c r="A137" s="65"/>
      <c r="B137" s="7"/>
    </row>
    <row r="138">
      <c r="A138" s="65"/>
      <c r="B138" s="7"/>
    </row>
    <row r="139">
      <c r="A139" s="65"/>
      <c r="B139" s="7"/>
    </row>
    <row r="140">
      <c r="A140" s="65"/>
      <c r="B140" s="7"/>
    </row>
    <row r="141">
      <c r="A141" s="65"/>
      <c r="B141" s="7"/>
    </row>
    <row r="142">
      <c r="A142" s="65"/>
      <c r="B142" s="7"/>
    </row>
    <row r="143">
      <c r="A143" s="65"/>
      <c r="B143" s="7"/>
    </row>
    <row r="144">
      <c r="A144" s="65"/>
      <c r="B144" s="7"/>
    </row>
    <row r="145">
      <c r="A145" s="66"/>
      <c r="B145" s="31"/>
      <c r="C145" s="31"/>
    </row>
    <row r="146">
      <c r="A146" s="51"/>
      <c r="B146" s="31"/>
      <c r="C146" s="31"/>
    </row>
    <row r="147">
      <c r="A147" s="51"/>
      <c r="B147" s="31"/>
      <c r="C147" s="31"/>
    </row>
    <row r="148">
      <c r="A148" s="51"/>
      <c r="B148" s="31"/>
      <c r="C148" s="67"/>
    </row>
    <row r="149">
      <c r="A149" s="51"/>
      <c r="B149" s="31"/>
      <c r="C149" s="31"/>
    </row>
    <row r="150">
      <c r="A150" s="28"/>
      <c r="B150" s="4"/>
    </row>
    <row r="151">
      <c r="A151" s="66"/>
      <c r="B151" s="31"/>
      <c r="C151" s="31"/>
    </row>
    <row r="152">
      <c r="A152" s="51"/>
      <c r="B152" s="31"/>
      <c r="C152" s="31"/>
    </row>
    <row r="153">
      <c r="A153" s="51"/>
      <c r="B153" s="31"/>
      <c r="C153" s="67"/>
    </row>
    <row r="154">
      <c r="A154" s="51"/>
      <c r="B154" s="31"/>
      <c r="C154" s="67"/>
    </row>
    <row r="155">
      <c r="A155" s="51"/>
      <c r="B155" s="67"/>
      <c r="C155" s="31"/>
    </row>
  </sheetData>
  <mergeCells count="9">
    <mergeCell ref="B101:C101"/>
    <mergeCell ref="B150:C150"/>
    <mergeCell ref="D3:E3"/>
    <mergeCell ref="F3:G3"/>
    <mergeCell ref="A3:A4"/>
    <mergeCell ref="A52:A53"/>
    <mergeCell ref="A101:A102"/>
    <mergeCell ref="B3:C3"/>
    <mergeCell ref="B52:C5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7.88"/>
    <col customWidth="1" min="4" max="4" width="18.88"/>
    <col customWidth="1" min="5" max="5" width="19.75"/>
    <col customWidth="1" min="6" max="6" width="16.75"/>
    <col customWidth="1" min="7" max="7" width="17.5"/>
  </cols>
  <sheetData>
    <row r="1">
      <c r="A1" s="1"/>
    </row>
    <row r="3">
      <c r="A3" s="2" t="s">
        <v>1</v>
      </c>
      <c r="B3" s="49" t="s">
        <v>98</v>
      </c>
      <c r="D3" s="49" t="s">
        <v>3</v>
      </c>
      <c r="F3" s="49" t="s">
        <v>4</v>
      </c>
    </row>
    <row r="4">
      <c r="B4" s="58" t="s">
        <v>99</v>
      </c>
      <c r="C4" s="58" t="s">
        <v>101</v>
      </c>
      <c r="D4" s="58" t="s">
        <v>99</v>
      </c>
      <c r="E4" s="58" t="s">
        <v>101</v>
      </c>
      <c r="F4" s="58" t="s">
        <v>99</v>
      </c>
      <c r="G4" s="58" t="s">
        <v>101</v>
      </c>
    </row>
    <row r="5">
      <c r="A5" s="59" t="s">
        <v>8</v>
      </c>
      <c r="B5" s="60">
        <v>80.65</v>
      </c>
      <c r="C5" s="7">
        <v>80.97</v>
      </c>
      <c r="D5" s="60">
        <v>81.97</v>
      </c>
      <c r="E5" s="7">
        <v>84.44</v>
      </c>
      <c r="F5" s="60">
        <v>100.0</v>
      </c>
      <c r="G5" s="1">
        <v>100.0</v>
      </c>
    </row>
    <row r="6">
      <c r="A6" s="59" t="s">
        <v>9</v>
      </c>
      <c r="B6" s="60">
        <v>79.7</v>
      </c>
      <c r="C6" s="7">
        <v>80.03</v>
      </c>
      <c r="D6" s="60">
        <v>83.54</v>
      </c>
      <c r="E6" s="7">
        <v>83.51</v>
      </c>
      <c r="F6" s="60">
        <v>100.0</v>
      </c>
      <c r="G6" s="1">
        <v>100.0</v>
      </c>
    </row>
    <row r="7">
      <c r="A7" s="59" t="s">
        <v>10</v>
      </c>
      <c r="B7" s="62">
        <v>81.85</v>
      </c>
      <c r="C7" s="7">
        <v>81.82</v>
      </c>
      <c r="D7" s="60">
        <v>85.52</v>
      </c>
      <c r="E7" s="7">
        <v>82.64</v>
      </c>
      <c r="F7" s="60">
        <v>100.0</v>
      </c>
      <c r="G7" s="1">
        <v>100.0</v>
      </c>
    </row>
    <row r="8">
      <c r="A8" s="63" t="s">
        <v>11</v>
      </c>
      <c r="B8" s="62">
        <v>79.56</v>
      </c>
      <c r="C8" s="7">
        <v>80.41</v>
      </c>
      <c r="D8" s="60">
        <v>77.19</v>
      </c>
      <c r="E8" s="7">
        <v>86.39</v>
      </c>
      <c r="F8" s="60">
        <v>100.0</v>
      </c>
      <c r="G8" s="1">
        <v>100.0</v>
      </c>
    </row>
    <row r="9">
      <c r="A9" s="59" t="s">
        <v>12</v>
      </c>
      <c r="B9" s="60">
        <v>81.22</v>
      </c>
      <c r="C9" s="15">
        <v>81.27</v>
      </c>
      <c r="D9" s="60">
        <v>84.2</v>
      </c>
      <c r="E9" s="7">
        <v>83.87</v>
      </c>
      <c r="F9" s="60">
        <v>100.0</v>
      </c>
      <c r="G9" s="1">
        <v>100.0</v>
      </c>
    </row>
    <row r="10">
      <c r="A10" s="59" t="s">
        <v>13</v>
      </c>
      <c r="B10" s="60">
        <v>81.38</v>
      </c>
      <c r="C10" s="7">
        <v>82.16</v>
      </c>
      <c r="D10" s="60">
        <v>80.06</v>
      </c>
      <c r="E10" s="7">
        <v>85.44</v>
      </c>
      <c r="F10" s="60">
        <v>60.0</v>
      </c>
      <c r="G10" s="1">
        <v>100.0</v>
      </c>
    </row>
    <row r="11">
      <c r="A11" s="59" t="s">
        <v>14</v>
      </c>
      <c r="B11" s="60">
        <v>82.95</v>
      </c>
      <c r="C11" s="7">
        <v>81.42</v>
      </c>
      <c r="D11" s="60">
        <v>87.34</v>
      </c>
      <c r="E11" s="7"/>
      <c r="F11" s="60">
        <v>100.0</v>
      </c>
      <c r="G11" s="1">
        <v>100.0</v>
      </c>
    </row>
    <row r="12">
      <c r="A12" s="63" t="s">
        <v>16</v>
      </c>
      <c r="B12" s="60">
        <v>80.06</v>
      </c>
      <c r="C12" s="7">
        <v>79.71</v>
      </c>
      <c r="D12" s="60">
        <v>75.41</v>
      </c>
      <c r="E12" s="7">
        <v>77.27</v>
      </c>
      <c r="F12" s="60">
        <v>100.0</v>
      </c>
      <c r="G12" s="1">
        <v>100.0</v>
      </c>
    </row>
    <row r="13">
      <c r="A13" s="63" t="s">
        <v>19</v>
      </c>
      <c r="B13" s="60">
        <v>80.4</v>
      </c>
      <c r="C13" s="7">
        <v>79.84</v>
      </c>
      <c r="D13" s="60">
        <v>73.6</v>
      </c>
      <c r="E13" s="7">
        <v>75.18</v>
      </c>
      <c r="F13" s="60">
        <v>100.0</v>
      </c>
      <c r="G13" s="1">
        <v>100.0</v>
      </c>
    </row>
    <row r="14">
      <c r="A14" s="63" t="s">
        <v>21</v>
      </c>
      <c r="B14" s="60">
        <v>79.37</v>
      </c>
      <c r="C14" s="7">
        <v>78.88</v>
      </c>
      <c r="D14" s="60">
        <v>63.43</v>
      </c>
      <c r="E14" s="7">
        <v>65.43</v>
      </c>
      <c r="F14" s="60">
        <v>100.0</v>
      </c>
      <c r="G14" s="1">
        <v>100.0</v>
      </c>
    </row>
    <row r="15">
      <c r="A15" s="59" t="s">
        <v>23</v>
      </c>
      <c r="B15" s="68">
        <v>82.58</v>
      </c>
      <c r="C15" s="7">
        <v>82.52</v>
      </c>
      <c r="D15" s="60">
        <v>85.8</v>
      </c>
      <c r="E15" s="7">
        <v>86.26</v>
      </c>
      <c r="F15" s="60">
        <v>100.0</v>
      </c>
      <c r="G15" s="1">
        <v>100.0</v>
      </c>
    </row>
    <row r="16">
      <c r="A16" s="63" t="s">
        <v>25</v>
      </c>
      <c r="B16" s="60">
        <v>81.43</v>
      </c>
      <c r="C16" s="7">
        <v>81.05</v>
      </c>
      <c r="D16" s="60">
        <v>72.68</v>
      </c>
      <c r="E16" s="7">
        <v>74.14</v>
      </c>
      <c r="F16" s="60">
        <v>100.0</v>
      </c>
      <c r="G16" s="1">
        <v>100.0</v>
      </c>
    </row>
    <row r="17">
      <c r="A17" s="63" t="s">
        <v>27</v>
      </c>
      <c r="B17" s="60">
        <v>81.72</v>
      </c>
      <c r="C17" s="7">
        <v>81.27</v>
      </c>
      <c r="D17" s="60">
        <v>78.91</v>
      </c>
      <c r="E17" s="7">
        <v>79.41</v>
      </c>
      <c r="F17" s="60">
        <v>100.0</v>
      </c>
      <c r="G17" s="1">
        <v>100.0</v>
      </c>
    </row>
    <row r="18">
      <c r="A18" s="59" t="s">
        <v>29</v>
      </c>
      <c r="B18" s="68">
        <v>82.21</v>
      </c>
      <c r="C18" s="7">
        <v>80.41</v>
      </c>
      <c r="D18" s="60">
        <v>79.06</v>
      </c>
      <c r="E18" s="7">
        <v>83.23</v>
      </c>
      <c r="F18" s="60">
        <v>100.0</v>
      </c>
      <c r="G18" s="1">
        <v>100.0</v>
      </c>
    </row>
    <row r="19">
      <c r="A19" s="63" t="s">
        <v>31</v>
      </c>
      <c r="B19" s="68"/>
      <c r="C19" s="7">
        <v>81.43</v>
      </c>
      <c r="D19" s="60"/>
      <c r="E19" s="7">
        <v>75.26</v>
      </c>
      <c r="F19" s="60">
        <v>100.0</v>
      </c>
      <c r="G19" s="1">
        <v>100.0</v>
      </c>
    </row>
    <row r="20">
      <c r="A20" s="63" t="s">
        <v>33</v>
      </c>
      <c r="B20" s="60">
        <v>81.54</v>
      </c>
      <c r="C20" s="7">
        <v>80.94</v>
      </c>
      <c r="D20" s="60">
        <v>73.7</v>
      </c>
      <c r="E20" s="7">
        <v>76.16</v>
      </c>
      <c r="F20" s="60">
        <v>100.0</v>
      </c>
      <c r="G20" s="1">
        <v>100.0</v>
      </c>
    </row>
    <row r="21">
      <c r="A21" s="59" t="s">
        <v>35</v>
      </c>
      <c r="B21" s="60">
        <v>82.76</v>
      </c>
      <c r="C21" s="7">
        <v>82.86</v>
      </c>
      <c r="D21" s="60">
        <v>87.76</v>
      </c>
      <c r="E21" s="7">
        <v>87.78</v>
      </c>
      <c r="F21" s="60">
        <v>100.0</v>
      </c>
      <c r="G21" s="1">
        <v>100.0</v>
      </c>
    </row>
    <row r="22">
      <c r="A22" s="59" t="s">
        <v>37</v>
      </c>
      <c r="B22" s="60">
        <v>80.26</v>
      </c>
      <c r="C22" s="7">
        <v>80.37</v>
      </c>
      <c r="D22" s="60">
        <v>73.27</v>
      </c>
      <c r="E22" s="7">
        <v>72.73</v>
      </c>
      <c r="F22" s="60">
        <v>100.0</v>
      </c>
      <c r="G22" s="1">
        <v>100.0</v>
      </c>
    </row>
    <row r="23">
      <c r="A23" s="63" t="s">
        <v>39</v>
      </c>
      <c r="B23" s="60">
        <v>80.66</v>
      </c>
      <c r="C23" s="7">
        <v>79.98</v>
      </c>
      <c r="D23" s="60"/>
      <c r="E23" s="7">
        <v>75.63</v>
      </c>
      <c r="F23" s="60">
        <v>100.0</v>
      </c>
      <c r="G23" s="1">
        <v>100.0</v>
      </c>
    </row>
    <row r="24">
      <c r="A24" s="59" t="s">
        <v>41</v>
      </c>
      <c r="B24" s="60">
        <v>81.77</v>
      </c>
      <c r="C24" s="7">
        <v>81.78</v>
      </c>
      <c r="D24" s="60">
        <v>87.74</v>
      </c>
      <c r="E24" s="7">
        <v>87.78</v>
      </c>
      <c r="F24" s="60">
        <v>100.0</v>
      </c>
      <c r="G24" s="1">
        <v>100.0</v>
      </c>
    </row>
    <row r="25">
      <c r="A25" s="59" t="s">
        <v>43</v>
      </c>
      <c r="B25" s="60">
        <v>81.64</v>
      </c>
      <c r="C25" s="7">
        <v>81.71</v>
      </c>
      <c r="D25" s="60">
        <v>83.53</v>
      </c>
      <c r="E25" s="7">
        <v>87.78</v>
      </c>
      <c r="F25" s="60">
        <v>100.0</v>
      </c>
      <c r="G25" s="1">
        <v>100.0</v>
      </c>
    </row>
    <row r="26">
      <c r="A26" s="59" t="s">
        <v>45</v>
      </c>
      <c r="B26" s="60">
        <v>82.4</v>
      </c>
      <c r="C26" s="7">
        <v>82.24</v>
      </c>
      <c r="D26" s="60">
        <v>83.72</v>
      </c>
      <c r="E26" s="7">
        <v>85.11</v>
      </c>
      <c r="F26" s="60">
        <v>100.0</v>
      </c>
      <c r="G26" s="1">
        <v>100.0</v>
      </c>
    </row>
    <row r="27">
      <c r="A27" s="63" t="s">
        <v>47</v>
      </c>
      <c r="B27" s="60">
        <v>80.67</v>
      </c>
      <c r="C27" s="7"/>
      <c r="D27" s="60"/>
      <c r="E27" s="7">
        <v>87.89</v>
      </c>
      <c r="F27" s="60">
        <v>100.0</v>
      </c>
    </row>
    <row r="28">
      <c r="A28" s="59" t="s">
        <v>49</v>
      </c>
      <c r="B28" s="60">
        <v>81.12</v>
      </c>
      <c r="C28" s="7">
        <v>81.68</v>
      </c>
      <c r="D28" s="60">
        <v>76.96</v>
      </c>
      <c r="E28" s="7">
        <v>79.14</v>
      </c>
      <c r="F28" s="60">
        <v>100.0</v>
      </c>
      <c r="G28" s="1">
        <v>100.0</v>
      </c>
    </row>
    <row r="29">
      <c r="A29" s="63" t="s">
        <v>51</v>
      </c>
      <c r="B29" s="60">
        <v>81.55</v>
      </c>
      <c r="C29" s="7">
        <v>82.62</v>
      </c>
      <c r="D29" s="60">
        <v>82.54</v>
      </c>
      <c r="E29" s="7">
        <v>85.0</v>
      </c>
      <c r="F29" s="60">
        <v>100.0</v>
      </c>
      <c r="G29" s="1">
        <v>100.0</v>
      </c>
    </row>
    <row r="30">
      <c r="A30" s="59" t="s">
        <v>53</v>
      </c>
      <c r="B30" s="60">
        <v>83.0</v>
      </c>
      <c r="C30" s="7">
        <v>81.19</v>
      </c>
      <c r="D30" s="60">
        <v>84.74</v>
      </c>
      <c r="E30" s="7">
        <v>86.01</v>
      </c>
      <c r="F30" s="60">
        <v>100.0</v>
      </c>
      <c r="G30" s="1">
        <v>100.0</v>
      </c>
    </row>
    <row r="31">
      <c r="A31" s="63" t="s">
        <v>55</v>
      </c>
      <c r="B31" s="60">
        <v>81.77</v>
      </c>
      <c r="C31" s="7">
        <v>80.61</v>
      </c>
      <c r="D31" s="60">
        <v>72.34</v>
      </c>
      <c r="E31" s="7">
        <v>70.43</v>
      </c>
      <c r="F31" s="60">
        <v>100.0</v>
      </c>
      <c r="G31" s="1">
        <v>100.0</v>
      </c>
    </row>
    <row r="32">
      <c r="A32" s="59" t="s">
        <v>57</v>
      </c>
      <c r="B32" s="60">
        <v>82.57</v>
      </c>
      <c r="C32" s="7">
        <v>82.78</v>
      </c>
      <c r="D32" s="60">
        <v>77.74</v>
      </c>
      <c r="E32" s="7">
        <v>77.97</v>
      </c>
      <c r="F32" s="60">
        <v>100.0</v>
      </c>
      <c r="G32" s="1">
        <v>100.0</v>
      </c>
    </row>
    <row r="33">
      <c r="A33" s="63" t="s">
        <v>59</v>
      </c>
      <c r="B33" s="60">
        <v>81.02</v>
      </c>
      <c r="C33" s="7">
        <v>80.85</v>
      </c>
      <c r="D33" s="60"/>
      <c r="E33" s="7">
        <v>84.27</v>
      </c>
      <c r="F33" s="60">
        <v>100.0</v>
      </c>
      <c r="G33" s="1">
        <v>100.0</v>
      </c>
    </row>
    <row r="34">
      <c r="A34" s="59" t="s">
        <v>60</v>
      </c>
      <c r="B34" s="60">
        <v>79.54</v>
      </c>
      <c r="C34" s="7">
        <v>79.7</v>
      </c>
      <c r="D34" s="60">
        <v>84.13</v>
      </c>
      <c r="E34" s="7">
        <v>84.06</v>
      </c>
      <c r="F34" s="60">
        <v>100.0</v>
      </c>
      <c r="G34" s="1">
        <v>100.0</v>
      </c>
    </row>
    <row r="35">
      <c r="A35" s="63" t="s">
        <v>61</v>
      </c>
      <c r="B35" s="60">
        <v>84.34</v>
      </c>
      <c r="C35" s="7">
        <v>82.91</v>
      </c>
      <c r="D35" s="60">
        <v>87.07</v>
      </c>
      <c r="E35" s="7">
        <v>88.64</v>
      </c>
      <c r="F35" s="60">
        <v>100.0</v>
      </c>
      <c r="G35" s="1">
        <v>100.0</v>
      </c>
    </row>
    <row r="36">
      <c r="A36" s="59" t="s">
        <v>62</v>
      </c>
      <c r="B36" s="60">
        <v>81.38</v>
      </c>
      <c r="C36" s="7">
        <v>80.8</v>
      </c>
      <c r="D36" s="60">
        <v>80.71</v>
      </c>
      <c r="E36" s="7">
        <v>82.12</v>
      </c>
      <c r="F36" s="60">
        <v>71.42</v>
      </c>
      <c r="G36" s="1">
        <v>100.0</v>
      </c>
    </row>
    <row r="37">
      <c r="A37" s="63" t="s">
        <v>63</v>
      </c>
      <c r="B37" s="60">
        <v>81.53</v>
      </c>
      <c r="C37" s="7">
        <v>81.58</v>
      </c>
      <c r="D37" s="60"/>
      <c r="E37" s="7">
        <v>84.84</v>
      </c>
      <c r="F37" s="60">
        <v>77.77</v>
      </c>
      <c r="G37" s="1">
        <v>100.0</v>
      </c>
    </row>
    <row r="38">
      <c r="A38" s="63" t="s">
        <v>64</v>
      </c>
      <c r="B38" s="60">
        <v>80.8</v>
      </c>
      <c r="C38" s="7">
        <v>81.47</v>
      </c>
      <c r="D38" s="60">
        <v>82.5</v>
      </c>
      <c r="E38" s="7">
        <v>84.06</v>
      </c>
      <c r="F38" s="60">
        <v>100.0</v>
      </c>
      <c r="G38" s="1">
        <v>100.0</v>
      </c>
    </row>
    <row r="39">
      <c r="A39" s="63" t="s">
        <v>65</v>
      </c>
      <c r="B39" s="60">
        <v>78.81</v>
      </c>
      <c r="C39" s="7"/>
      <c r="D39" s="60">
        <v>68.03</v>
      </c>
      <c r="E39" s="7"/>
      <c r="F39" s="60">
        <v>91.66</v>
      </c>
    </row>
    <row r="40">
      <c r="A40" s="63" t="s">
        <v>66</v>
      </c>
      <c r="B40" s="60">
        <v>83.49</v>
      </c>
      <c r="C40" s="7">
        <v>83.24</v>
      </c>
      <c r="D40" s="60">
        <v>84.04</v>
      </c>
      <c r="E40" s="7">
        <v>83.24</v>
      </c>
      <c r="F40" s="60">
        <v>100.0</v>
      </c>
      <c r="G40" s="1">
        <v>100.0</v>
      </c>
    </row>
    <row r="41">
      <c r="A41" s="63" t="s">
        <v>67</v>
      </c>
      <c r="B41" s="60">
        <v>79.12</v>
      </c>
      <c r="C41" s="7"/>
      <c r="D41" s="60"/>
      <c r="E41" s="7"/>
      <c r="F41" s="60">
        <v>100.0</v>
      </c>
    </row>
    <row r="42">
      <c r="A42" s="63" t="s">
        <v>68</v>
      </c>
      <c r="B42" s="60">
        <v>81.65</v>
      </c>
      <c r="C42" s="7">
        <v>80.56</v>
      </c>
      <c r="D42" s="60">
        <v>77.98</v>
      </c>
      <c r="E42" s="7">
        <v>76.72</v>
      </c>
      <c r="F42" s="60">
        <v>100.0</v>
      </c>
      <c r="G42" s="1">
        <v>100.0</v>
      </c>
    </row>
    <row r="43">
      <c r="A43" s="63" t="s">
        <v>69</v>
      </c>
      <c r="B43" s="60">
        <v>79.59</v>
      </c>
      <c r="C43" s="7"/>
      <c r="D43" s="60">
        <v>78.33</v>
      </c>
      <c r="E43" s="7"/>
      <c r="F43" s="60">
        <v>87.5</v>
      </c>
    </row>
    <row r="44">
      <c r="A44" s="63" t="s">
        <v>70</v>
      </c>
      <c r="B44" s="60">
        <v>83.2</v>
      </c>
      <c r="C44" s="1">
        <v>80.98</v>
      </c>
      <c r="D44" s="60">
        <v>86.67</v>
      </c>
      <c r="E44" s="7">
        <v>80.09</v>
      </c>
      <c r="F44" s="60">
        <v>100.0</v>
      </c>
      <c r="G44" s="1">
        <v>100.0</v>
      </c>
    </row>
    <row r="45">
      <c r="A45" s="63" t="s">
        <v>71</v>
      </c>
      <c r="B45" s="60">
        <v>85.82</v>
      </c>
      <c r="C45" s="7">
        <v>86.06</v>
      </c>
      <c r="D45" s="60">
        <v>79.1</v>
      </c>
      <c r="E45" s="7">
        <v>79.19</v>
      </c>
      <c r="F45" s="60">
        <v>100.0</v>
      </c>
      <c r="G45" s="1">
        <v>100.0</v>
      </c>
    </row>
    <row r="46">
      <c r="A46" s="63" t="s">
        <v>72</v>
      </c>
      <c r="B46" s="60">
        <v>84.18</v>
      </c>
      <c r="C46" s="7">
        <v>83.99</v>
      </c>
      <c r="D46" s="60">
        <v>86.86</v>
      </c>
      <c r="E46" s="7">
        <v>87.58</v>
      </c>
      <c r="F46" s="60">
        <v>100.0</v>
      </c>
      <c r="G46" s="1">
        <v>100.0</v>
      </c>
    </row>
    <row r="47">
      <c r="A47" s="35" t="s">
        <v>73</v>
      </c>
      <c r="B47" s="37">
        <f t="shared" ref="B47:G47" si="1">AVERAGE(B5:B46)</f>
        <v>81.49414634</v>
      </c>
      <c r="C47" s="37">
        <f t="shared" si="1"/>
        <v>81.42342105</v>
      </c>
      <c r="D47" s="37">
        <f t="shared" si="1"/>
        <v>80.22694444</v>
      </c>
      <c r="E47" s="37">
        <f t="shared" si="1"/>
        <v>81.49184211</v>
      </c>
      <c r="F47" s="37">
        <f t="shared" si="1"/>
        <v>97.34166667</v>
      </c>
      <c r="G47" s="37">
        <f t="shared" si="1"/>
        <v>100</v>
      </c>
    </row>
    <row r="48">
      <c r="A48" s="40" t="s">
        <v>74</v>
      </c>
      <c r="B48" s="37">
        <f t="shared" ref="B48:G48" si="2">AVERAGE(B5:B11,B34:B46)</f>
        <v>81.538</v>
      </c>
      <c r="C48" s="37">
        <f t="shared" si="2"/>
        <v>81.72764706</v>
      </c>
      <c r="D48" s="37">
        <f t="shared" si="2"/>
        <v>81.95777778</v>
      </c>
      <c r="E48" s="37">
        <f t="shared" si="2"/>
        <v>83.551875</v>
      </c>
      <c r="F48" s="37">
        <f t="shared" si="2"/>
        <v>94.4175</v>
      </c>
      <c r="G48" s="37">
        <f t="shared" si="2"/>
        <v>100</v>
      </c>
    </row>
    <row r="49">
      <c r="A49" s="40" t="s">
        <v>75</v>
      </c>
      <c r="B49" s="37">
        <f t="shared" ref="B49:G49" si="3">AVERAGE(B12:B33)</f>
        <v>81.45238095</v>
      </c>
      <c r="C49" s="37">
        <f t="shared" si="3"/>
        <v>81.17714286</v>
      </c>
      <c r="D49" s="37">
        <f t="shared" si="3"/>
        <v>78.49611111</v>
      </c>
      <c r="E49" s="37">
        <f t="shared" si="3"/>
        <v>79.99363636</v>
      </c>
      <c r="F49" s="37">
        <f t="shared" si="3"/>
        <v>100</v>
      </c>
      <c r="G49" s="37">
        <f t="shared" si="3"/>
        <v>100</v>
      </c>
    </row>
    <row r="50">
      <c r="A50" s="40" t="s">
        <v>76</v>
      </c>
      <c r="B50" s="37">
        <f t="shared" ref="B50:G50" si="4">AVERAGE(B5,B9:B11,B15,B18,B21,B25:B26)</f>
        <v>81.97666667</v>
      </c>
      <c r="C50" s="36">
        <f t="shared" si="4"/>
        <v>81.72888889</v>
      </c>
      <c r="D50" s="37">
        <f t="shared" si="4"/>
        <v>83.71555556</v>
      </c>
      <c r="E50" s="36">
        <f t="shared" si="4"/>
        <v>85.48875</v>
      </c>
      <c r="F50" s="37">
        <f t="shared" si="4"/>
        <v>95.55555556</v>
      </c>
      <c r="G50" s="36">
        <f t="shared" si="4"/>
        <v>100</v>
      </c>
    </row>
    <row r="51">
      <c r="A51" s="40" t="s">
        <v>77</v>
      </c>
      <c r="B51" s="37">
        <f t="shared" ref="B51:G51" si="5">AVERAGE(B6:B7,B22,B24,B32,B34)</f>
        <v>80.94833333</v>
      </c>
      <c r="C51" s="37">
        <f t="shared" si="5"/>
        <v>81.08</v>
      </c>
      <c r="D51" s="37">
        <f t="shared" si="5"/>
        <v>81.99</v>
      </c>
      <c r="E51" s="37">
        <f t="shared" si="5"/>
        <v>81.44833333</v>
      </c>
      <c r="F51" s="37">
        <f t="shared" si="5"/>
        <v>100</v>
      </c>
      <c r="G51" s="37">
        <f t="shared" si="5"/>
        <v>100</v>
      </c>
    </row>
    <row r="52">
      <c r="A52" s="45"/>
      <c r="B52" s="4"/>
    </row>
    <row r="53">
      <c r="B53" s="4"/>
      <c r="C53" s="4"/>
    </row>
    <row r="54">
      <c r="A54" s="64"/>
      <c r="B54" s="7"/>
      <c r="C54" s="7"/>
    </row>
    <row r="55">
      <c r="A55" s="64"/>
      <c r="B55" s="7"/>
      <c r="C55" s="7"/>
    </row>
    <row r="56">
      <c r="A56" s="64"/>
      <c r="B56" s="7"/>
      <c r="C56" s="7"/>
    </row>
    <row r="57">
      <c r="A57" s="65"/>
      <c r="B57" s="7"/>
      <c r="C57" s="7"/>
    </row>
    <row r="58">
      <c r="A58" s="64"/>
      <c r="B58" s="7"/>
      <c r="C58" s="7"/>
    </row>
    <row r="59">
      <c r="A59" s="64"/>
      <c r="B59" s="7"/>
      <c r="C59" s="7"/>
    </row>
    <row r="60">
      <c r="A60" s="64"/>
      <c r="B60" s="7"/>
      <c r="C60" s="7"/>
    </row>
    <row r="61">
      <c r="A61" s="64"/>
      <c r="B61" s="7"/>
      <c r="C61" s="7"/>
    </row>
    <row r="62">
      <c r="A62" s="64"/>
      <c r="B62" s="7"/>
      <c r="C62" s="7"/>
    </row>
    <row r="63">
      <c r="A63" s="64"/>
      <c r="B63" s="7"/>
      <c r="C63" s="7"/>
    </row>
    <row r="64">
      <c r="A64" s="64"/>
      <c r="B64" s="7"/>
      <c r="C64" s="7"/>
    </row>
    <row r="65">
      <c r="A65" s="65"/>
      <c r="B65" s="7"/>
      <c r="C65" s="7"/>
    </row>
    <row r="66">
      <c r="A66" s="65"/>
      <c r="B66" s="7"/>
      <c r="C66" s="7"/>
    </row>
    <row r="67">
      <c r="A67" s="64"/>
      <c r="B67" s="7"/>
      <c r="C67" s="7"/>
    </row>
    <row r="68">
      <c r="A68" s="65"/>
      <c r="B68" s="7"/>
      <c r="C68" s="7"/>
    </row>
    <row r="69">
      <c r="A69" s="65"/>
      <c r="B69" s="7"/>
      <c r="C69" s="7"/>
    </row>
    <row r="70">
      <c r="A70" s="64"/>
      <c r="B70" s="7"/>
      <c r="C70" s="7"/>
    </row>
    <row r="71">
      <c r="A71" s="64"/>
      <c r="B71" s="7"/>
      <c r="C71" s="7"/>
    </row>
    <row r="72">
      <c r="A72" s="65"/>
      <c r="B72" s="7"/>
      <c r="C72" s="7"/>
    </row>
    <row r="73">
      <c r="A73" s="64"/>
      <c r="B73" s="7"/>
      <c r="C73" s="7"/>
    </row>
    <row r="74">
      <c r="A74" s="64"/>
      <c r="B74" s="7"/>
      <c r="C74" s="7"/>
    </row>
    <row r="75">
      <c r="A75" s="64"/>
      <c r="B75" s="7"/>
      <c r="C75" s="7"/>
    </row>
    <row r="76">
      <c r="A76" s="64"/>
      <c r="B76" s="7"/>
      <c r="C76" s="7"/>
    </row>
    <row r="77">
      <c r="A77" s="64"/>
      <c r="B77" s="7"/>
      <c r="C77" s="7"/>
    </row>
    <row r="78">
      <c r="A78" s="64"/>
      <c r="B78" s="7"/>
      <c r="C78" s="7"/>
    </row>
    <row r="79">
      <c r="A79" s="64"/>
      <c r="B79" s="7"/>
      <c r="C79" s="7"/>
    </row>
    <row r="80">
      <c r="A80" s="64"/>
      <c r="B80" s="7"/>
      <c r="C80" s="7"/>
    </row>
    <row r="81">
      <c r="A81" s="64"/>
      <c r="B81" s="7"/>
      <c r="C81" s="7"/>
    </row>
    <row r="82">
      <c r="A82" s="65"/>
      <c r="B82" s="7"/>
      <c r="C82" s="7"/>
    </row>
    <row r="83">
      <c r="A83" s="64"/>
      <c r="B83" s="7"/>
      <c r="C83" s="7"/>
    </row>
    <row r="84">
      <c r="A84" s="65"/>
      <c r="B84" s="7"/>
      <c r="C84" s="7"/>
    </row>
    <row r="85">
      <c r="A85" s="65"/>
      <c r="B85" s="7"/>
      <c r="C85" s="7"/>
    </row>
    <row r="86">
      <c r="A86" s="64"/>
      <c r="B86" s="7"/>
      <c r="C86" s="7"/>
    </row>
    <row r="87">
      <c r="A87" s="65"/>
      <c r="B87" s="7"/>
      <c r="C87" s="7"/>
    </row>
    <row r="88">
      <c r="A88" s="65"/>
      <c r="B88" s="7"/>
      <c r="C88" s="7"/>
    </row>
    <row r="89">
      <c r="A89" s="65"/>
      <c r="B89" s="7"/>
      <c r="C89" s="7"/>
    </row>
    <row r="90">
      <c r="A90" s="65"/>
      <c r="B90" s="7"/>
      <c r="C90" s="7"/>
    </row>
    <row r="91">
      <c r="A91" s="65"/>
      <c r="B91" s="7"/>
      <c r="C91" s="7"/>
    </row>
    <row r="92">
      <c r="A92" s="65"/>
      <c r="B92" s="7"/>
      <c r="C92" s="7"/>
    </row>
    <row r="93">
      <c r="A93" s="65"/>
      <c r="B93" s="7"/>
      <c r="C93" s="7"/>
    </row>
    <row r="94">
      <c r="A94" s="65"/>
      <c r="B94" s="7"/>
      <c r="C94" s="7"/>
    </row>
    <row r="95">
      <c r="A95" s="65"/>
      <c r="B95" s="7"/>
      <c r="C95" s="7"/>
    </row>
    <row r="96">
      <c r="A96" s="66"/>
      <c r="B96" s="31"/>
      <c r="C96" s="31"/>
    </row>
    <row r="97">
      <c r="A97" s="51"/>
      <c r="B97" s="31"/>
      <c r="C97" s="31"/>
    </row>
    <row r="98">
      <c r="A98" s="51"/>
      <c r="B98" s="31"/>
      <c r="C98" s="31"/>
    </row>
    <row r="99">
      <c r="A99" s="51"/>
      <c r="B99" s="31"/>
      <c r="C99" s="67"/>
    </row>
    <row r="100">
      <c r="A100" s="51"/>
      <c r="B100" s="31"/>
      <c r="C100" s="31"/>
    </row>
    <row r="101">
      <c r="A101" s="45"/>
      <c r="B101" s="4"/>
    </row>
    <row r="102">
      <c r="B102" s="4"/>
      <c r="C102" s="4"/>
    </row>
    <row r="103">
      <c r="A103" s="64"/>
      <c r="B103" s="31"/>
    </row>
    <row r="104">
      <c r="A104" s="64"/>
      <c r="B104" s="31"/>
    </row>
    <row r="105">
      <c r="A105" s="64"/>
      <c r="B105" s="31"/>
    </row>
    <row r="106">
      <c r="A106" s="65"/>
      <c r="B106" s="7"/>
    </row>
    <row r="107">
      <c r="A107" s="64"/>
      <c r="B107" s="31"/>
    </row>
    <row r="108">
      <c r="A108" s="64"/>
      <c r="B108" s="31"/>
    </row>
    <row r="109">
      <c r="A109" s="64"/>
      <c r="B109" s="7"/>
    </row>
    <row r="110">
      <c r="A110" s="64"/>
      <c r="B110" s="7"/>
    </row>
    <row r="111">
      <c r="A111" s="64"/>
      <c r="B111" s="7"/>
    </row>
    <row r="112">
      <c r="A112" s="64"/>
      <c r="B112" s="7"/>
    </row>
    <row r="113">
      <c r="A113" s="64"/>
      <c r="B113" s="7"/>
    </row>
    <row r="114">
      <c r="A114" s="64"/>
      <c r="B114" s="7"/>
    </row>
    <row r="115">
      <c r="A115" s="64"/>
      <c r="B115" s="7"/>
    </row>
    <row r="116">
      <c r="A116" s="64"/>
      <c r="B116" s="7"/>
    </row>
    <row r="117">
      <c r="A117" s="64"/>
      <c r="B117" s="7"/>
    </row>
    <row r="118">
      <c r="A118" s="64"/>
      <c r="B118" s="7"/>
    </row>
    <row r="119">
      <c r="A119" s="64"/>
      <c r="B119" s="7"/>
    </row>
    <row r="120">
      <c r="A120" s="64"/>
      <c r="B120" s="7"/>
    </row>
    <row r="121">
      <c r="A121" s="65"/>
      <c r="B121" s="7"/>
    </row>
    <row r="122">
      <c r="A122" s="64"/>
      <c r="B122" s="7"/>
    </row>
    <row r="123">
      <c r="A123" s="64"/>
      <c r="B123" s="7"/>
    </row>
    <row r="124">
      <c r="A124" s="64"/>
      <c r="B124" s="7"/>
    </row>
    <row r="125">
      <c r="A125" s="64"/>
      <c r="B125" s="7"/>
    </row>
    <row r="126">
      <c r="A126" s="64"/>
      <c r="B126" s="7"/>
    </row>
    <row r="127">
      <c r="A127" s="64"/>
      <c r="B127" s="7"/>
    </row>
    <row r="128">
      <c r="A128" s="64"/>
      <c r="B128" s="7"/>
    </row>
    <row r="129">
      <c r="A129" s="64"/>
      <c r="B129" s="7"/>
    </row>
    <row r="130">
      <c r="A130" s="64"/>
      <c r="B130" s="7"/>
    </row>
    <row r="131">
      <c r="A131" s="65"/>
      <c r="B131" s="7"/>
    </row>
    <row r="132">
      <c r="A132" s="64"/>
      <c r="B132" s="7"/>
    </row>
    <row r="133">
      <c r="A133" s="65"/>
      <c r="B133" s="7"/>
    </row>
    <row r="134">
      <c r="A134" s="64"/>
      <c r="B134" s="7"/>
    </row>
    <row r="135">
      <c r="A135" s="65"/>
      <c r="B135" s="7"/>
    </row>
    <row r="136">
      <c r="A136" s="65"/>
      <c r="B136" s="7"/>
    </row>
    <row r="137">
      <c r="A137" s="65"/>
      <c r="B137" s="7"/>
    </row>
    <row r="138">
      <c r="A138" s="65"/>
      <c r="B138" s="7"/>
    </row>
    <row r="139">
      <c r="A139" s="65"/>
      <c r="B139" s="7"/>
    </row>
    <row r="140">
      <c r="A140" s="65"/>
      <c r="B140" s="7"/>
    </row>
    <row r="141">
      <c r="A141" s="65"/>
      <c r="B141" s="7"/>
    </row>
    <row r="142">
      <c r="A142" s="65"/>
      <c r="B142" s="7"/>
    </row>
    <row r="143">
      <c r="A143" s="65"/>
      <c r="B143" s="7"/>
    </row>
    <row r="144">
      <c r="A144" s="65"/>
      <c r="B144" s="7"/>
    </row>
    <row r="145">
      <c r="A145" s="66"/>
      <c r="B145" s="31"/>
      <c r="C145" s="31"/>
    </row>
    <row r="146">
      <c r="A146" s="51"/>
      <c r="B146" s="31"/>
      <c r="C146" s="31"/>
    </row>
    <row r="147">
      <c r="A147" s="51"/>
      <c r="B147" s="31"/>
      <c r="C147" s="31"/>
    </row>
    <row r="148">
      <c r="A148" s="51"/>
      <c r="B148" s="31"/>
      <c r="C148" s="67"/>
    </row>
    <row r="149">
      <c r="A149" s="51"/>
      <c r="B149" s="31"/>
      <c r="C149" s="31"/>
    </row>
    <row r="150">
      <c r="A150" s="28"/>
      <c r="B150" s="4"/>
    </row>
    <row r="151">
      <c r="A151" s="66"/>
      <c r="B151" s="31"/>
      <c r="C151" s="31"/>
    </row>
    <row r="152">
      <c r="A152" s="51"/>
      <c r="B152" s="31"/>
      <c r="C152" s="31"/>
    </row>
    <row r="153">
      <c r="A153" s="51"/>
      <c r="B153" s="31"/>
      <c r="C153" s="67"/>
    </row>
    <row r="154">
      <c r="A154" s="51"/>
      <c r="B154" s="31"/>
      <c r="C154" s="67"/>
    </row>
    <row r="155">
      <c r="A155" s="51"/>
      <c r="B155" s="67"/>
      <c r="C155" s="31"/>
    </row>
  </sheetData>
  <mergeCells count="9">
    <mergeCell ref="A52:A53"/>
    <mergeCell ref="B52:C52"/>
    <mergeCell ref="B101:C101"/>
    <mergeCell ref="B150:C150"/>
    <mergeCell ref="D3:E3"/>
    <mergeCell ref="F3:G3"/>
    <mergeCell ref="A3:A4"/>
    <mergeCell ref="A101:A102"/>
    <mergeCell ref="B3:C3"/>
  </mergeCells>
  <drawing r:id="rId1"/>
</worksheet>
</file>