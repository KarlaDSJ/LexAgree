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ExpChris" sheetId="1" r:id="rId5"/>
    <sheet state="visible" name="Metrics" sheetId="2" r:id="rId6"/>
    <sheet state="visible" name="Agreement_all" sheetId="3" r:id="rId7"/>
    <sheet state="visible" name="Agreement_llama" sheetId="4" r:id="rId8"/>
    <sheet state="visible" name="Agreement_saul" sheetId="5" r:id="rId9"/>
    <sheet state="visible" name="Agreement_qwen" sheetId="6" r:id="rId10"/>
  </sheets>
  <definedNames/>
  <calcPr/>
</workbook>
</file>

<file path=xl/sharedStrings.xml><?xml version="1.0" encoding="utf-8"?>
<sst xmlns="http://schemas.openxmlformats.org/spreadsheetml/2006/main" count="545" uniqueCount="139">
  <si>
    <t>20 Decisions and 22 Judgments</t>
  </si>
  <si>
    <t>Text</t>
  </si>
  <si>
    <t xml:space="preserve">mean similarity </t>
  </si>
  <si>
    <t xml:space="preserve">mean granular similarity </t>
  </si>
  <si>
    <t>mean matching ratio</t>
  </si>
  <si>
    <t>after</t>
  </si>
  <si>
    <t>saul</t>
  </si>
  <si>
    <t>qwen</t>
  </si>
  <si>
    <t>after_mgs</t>
  </si>
  <si>
    <t>saul_mgs</t>
  </si>
  <si>
    <t>00</t>
  </si>
  <si>
    <t>01</t>
  </si>
  <si>
    <t>02</t>
  </si>
  <si>
    <t>03</t>
  </si>
  <si>
    <t>04</t>
  </si>
  <si>
    <t>05</t>
  </si>
  <si>
    <t>06</t>
  </si>
  <si>
    <t>Legend</t>
  </si>
  <si>
    <t>07</t>
  </si>
  <si>
    <t>Decisions in red</t>
  </si>
  <si>
    <t>Judgements in blue</t>
  </si>
  <si>
    <t>08</t>
  </si>
  <si>
    <t>00.txt</t>
  </si>
  <si>
    <t>09</t>
  </si>
  <si>
    <t>01.txt</t>
  </si>
  <si>
    <t>10</t>
  </si>
  <si>
    <t>02.txt</t>
  </si>
  <si>
    <t>11</t>
  </si>
  <si>
    <t>03.txt</t>
  </si>
  <si>
    <t>12</t>
  </si>
  <si>
    <t>04.txt</t>
  </si>
  <si>
    <t>13</t>
  </si>
  <si>
    <t>05.txt</t>
  </si>
  <si>
    <t>14</t>
  </si>
  <si>
    <t>06.txt</t>
  </si>
  <si>
    <t>15</t>
  </si>
  <si>
    <t>29.txt</t>
  </si>
  <si>
    <t>16</t>
  </si>
  <si>
    <t>30.txt</t>
  </si>
  <si>
    <t>17</t>
  </si>
  <si>
    <t>31.txt</t>
  </si>
  <si>
    <t>18</t>
  </si>
  <si>
    <t>32.txt</t>
  </si>
  <si>
    <t>19</t>
  </si>
  <si>
    <t>33.txt</t>
  </si>
  <si>
    <t>20</t>
  </si>
  <si>
    <t>34.txt</t>
  </si>
  <si>
    <t>21</t>
  </si>
  <si>
    <t>35.txt</t>
  </si>
  <si>
    <t>22</t>
  </si>
  <si>
    <t>37.txt</t>
  </si>
  <si>
    <t>23</t>
  </si>
  <si>
    <t>38.txt</t>
  </si>
  <si>
    <t>24</t>
  </si>
  <si>
    <t>39.txt</t>
  </si>
  <si>
    <t>25</t>
  </si>
  <si>
    <t>40.txt</t>
  </si>
  <si>
    <t>26</t>
  </si>
  <si>
    <t>41.txt</t>
  </si>
  <si>
    <t>27</t>
  </si>
  <si>
    <t>42.txt</t>
  </si>
  <si>
    <t>28</t>
  </si>
  <si>
    <t>29</t>
  </si>
  <si>
    <t>30</t>
  </si>
  <si>
    <t>31</t>
  </si>
  <si>
    <t>32</t>
  </si>
  <si>
    <t>33</t>
  </si>
  <si>
    <t>34</t>
  </si>
  <si>
    <t>35</t>
  </si>
  <si>
    <t>37</t>
  </si>
  <si>
    <t>38</t>
  </si>
  <si>
    <t>39</t>
  </si>
  <si>
    <t>40</t>
  </si>
  <si>
    <t>41</t>
  </si>
  <si>
    <t>42</t>
  </si>
  <si>
    <t>Mean</t>
  </si>
  <si>
    <t>Num win (21)</t>
  </si>
  <si>
    <t>Decisions</t>
  </si>
  <si>
    <t>Judgments</t>
  </si>
  <si>
    <t>Short Chris</t>
  </si>
  <si>
    <t>Long Chris</t>
  </si>
  <si>
    <t>‘Decision category’ presents the information briefly (the average word length is 3500 words) in the corpus whereas, in the case of Judgments, more detailed information is available (an average word length of 10000 words).  The Decision case-law documents are divided into six sections: i) Introduc
tion, ii) The Facts, iii) Complaints, iv) Proceedings before the Commission, v) The Laws and vi) For
the Reason. Judgment case-law documents are divided into eight sections: i) Introduction, ii) Procedure,
iii) As the Facts, iv) The Circumstances of the Case, v) Proceedings before the Commission, vi) Final
Submissions to the Court, vii) As to the Law, and viii) For the Reason.</t>
  </si>
  <si>
    <t>texts_processed = ['00', '04', '05', '06', '10', '13', '16', '20', '21']
texts_processed_long = ['01','02','17','19','27','29']</t>
  </si>
  <si>
    <t>Original</t>
  </si>
  <si>
    <t>num_args</t>
  </si>
  <si>
    <t>num_window</t>
  </si>
  <si>
    <t>llama</t>
  </si>
  <si>
    <t>llama-saul 8.0</t>
  </si>
  <si>
    <t>llama-qwen 8.0</t>
  </si>
  <si>
    <t>saul-llama 8.0</t>
  </si>
  <si>
    <t>saul-llama 6.0</t>
  </si>
  <si>
    <t>saul-qwen 8.0</t>
  </si>
  <si>
    <t>qwen-llama 8.0</t>
  </si>
  <si>
    <t>qwen-llama 6.0</t>
  </si>
  <si>
    <t>qwen-saul 8.0</t>
  </si>
  <si>
    <t>qwen-saul 6.0</t>
  </si>
  <si>
    <t>llama-saul0.8_qwen_0.8</t>
  </si>
  <si>
    <t>llama-qwen0.8_saul_0.8</t>
  </si>
  <si>
    <t>Llama-saul with qwen</t>
  </si>
  <si>
    <t>Llama-qwen with saul</t>
  </si>
  <si>
    <t>mean similarity</t>
  </si>
  <si>
    <t>Average</t>
  </si>
  <si>
    <t>Llama</t>
  </si>
  <si>
    <t>Saul</t>
  </si>
  <si>
    <t>Qwen</t>
  </si>
  <si>
    <t>Llama-saul</t>
  </si>
  <si>
    <t>Llama-qwen</t>
  </si>
  <si>
    <t xml:space="preserve">mean similarity                                                         </t>
  </si>
  <si>
    <t>agreement saul 0.6</t>
  </si>
  <si>
    <t>agreement saul 0.7</t>
  </si>
  <si>
    <t>agreement saul 0.8</t>
  </si>
  <si>
    <t>agreement qwen 0.6</t>
  </si>
  <si>
    <t>agreement qwen 0.7</t>
  </si>
  <si>
    <t>agreement qwen 0.8</t>
  </si>
  <si>
    <t>87.24</t>
  </si>
  <si>
    <t>60.72</t>
  </si>
  <si>
    <t>64.83</t>
  </si>
  <si>
    <t>70.73</t>
  </si>
  <si>
    <t>59.36</t>
  </si>
  <si>
    <t>71.97</t>
  </si>
  <si>
    <t>71.27</t>
  </si>
  <si>
    <t xml:space="preserve">mean similarity              </t>
  </si>
  <si>
    <t>agreement llama 0.6</t>
  </si>
  <si>
    <t>agreement llama 0.7</t>
  </si>
  <si>
    <t>agreement llama 0.8</t>
  </si>
  <si>
    <t>80.10</t>
  </si>
  <si>
    <t>60.27</t>
  </si>
  <si>
    <t>69.69</t>
  </si>
  <si>
    <t>70.28</t>
  </si>
  <si>
    <t>56.11</t>
  </si>
  <si>
    <t>72.72</t>
  </si>
  <si>
    <t>70.14</t>
  </si>
  <si>
    <t>64.58</t>
  </si>
  <si>
    <t>69.41</t>
  </si>
  <si>
    <t>67.44</t>
  </si>
  <si>
    <t>65.87</t>
  </si>
  <si>
    <t>57.73</t>
  </si>
  <si>
    <t>67.28</t>
  </si>
  <si>
    <t>73.50</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</si>
</sst>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Arial"/>
    </font>
    <font>
      <b/>
      <color theme="1"/>
      <name val="Arial"/>
      <scheme val="minor"/>
    </font>
    <font>
      <b/>
      <color theme="1"/>
      <name val="Arial"/>
    </font>
    <font>
      <color rgb="FFF3F3F3"/>
      <name val="Arial"/>
      <scheme val="minor"/>
    </font>
  </fonts>
  <fills count="11">
    <fill>
      <patternFill patternType="none"/>
    </fill>
    <fill>
      <patternFill patternType="lightGray"/>
    </fill>
    <fill>
      <patternFill patternType="solid">
        <fgColor rgb="FFCCCCCC"/>
        <bgColor rgb="FFCCCCCC"/>
      </patternFill>
    </fill>
    <fill>
      <patternFill patternType="solid">
        <fgColor rgb="FFD5A6BD"/>
        <bgColor rgb="FFD5A6BD"/>
      </patternFill>
    </fill>
    <fill>
      <patternFill patternType="solid">
        <fgColor rgb="FFF3F3F3"/>
        <bgColor rgb="FFF3F3F3"/>
      </patternFill>
    </fill>
    <fill>
      <patternFill patternType="solid">
        <fgColor rgb="FFEFEFEF"/>
        <bgColor rgb="FFEFEFEF"/>
      </patternFill>
    </fill>
    <fill>
      <patternFill patternType="solid">
        <fgColor rgb="FF9FC5E8"/>
        <bgColor rgb="FF9FC5E8"/>
      </patternFill>
    </fill>
    <fill>
      <patternFill patternType="solid">
        <fgColor rgb="FFC27BA0"/>
        <bgColor rgb="FFC27BA0"/>
      </patternFill>
    </fill>
    <fill>
      <patternFill patternType="solid">
        <fgColor rgb="FF666666"/>
        <bgColor rgb="FF666666"/>
      </patternFill>
    </fill>
    <fill>
      <patternFill patternType="solid">
        <fgColor rgb="FF434343"/>
        <bgColor rgb="FF434343"/>
      </patternFill>
    </fill>
    <fill>
      <patternFill patternType="solid">
        <fgColor rgb="FFD9D9D9"/>
        <bgColor rgb="FFD9D9D9"/>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shrinkToFit="0" wrapText="0"/>
    </xf>
    <xf borderId="0" fillId="2" fontId="2" numFmtId="0" xfId="0" applyAlignment="1" applyFont="1">
      <alignment horizontal="center" vertical="bottom"/>
    </xf>
    <xf borderId="0" fillId="0" fontId="2" numFmtId="0" xfId="0" applyAlignment="1" applyFont="1">
      <alignment horizontal="center" readingOrder="0" vertical="bottom"/>
    </xf>
    <xf borderId="0" fillId="0" fontId="2" numFmtId="0" xfId="0" applyAlignment="1" applyFont="1">
      <alignment horizontal="center" vertical="bottom"/>
    </xf>
    <xf borderId="0" fillId="3" fontId="2" numFmtId="49" xfId="0" applyAlignment="1" applyFill="1" applyFont="1" applyNumberFormat="1">
      <alignment horizontal="right" vertical="bottom"/>
    </xf>
    <xf borderId="0" fillId="0" fontId="2" numFmtId="0" xfId="0" applyAlignment="1" applyFont="1">
      <alignment horizontal="right" vertical="bottom"/>
    </xf>
    <xf borderId="0" fillId="0" fontId="3" numFmtId="0" xfId="0" applyAlignment="1" applyFont="1">
      <alignment readingOrder="0"/>
    </xf>
    <xf borderId="1" fillId="4" fontId="4" numFmtId="0" xfId="0" applyAlignment="1" applyBorder="1" applyFill="1" applyFont="1">
      <alignment horizontal="right" vertical="bottom"/>
    </xf>
    <xf borderId="2" fillId="4" fontId="2" numFmtId="0" xfId="0" applyAlignment="1" applyBorder="1" applyFont="1">
      <alignment horizontal="right" vertical="bottom"/>
    </xf>
    <xf borderId="3" fillId="4" fontId="1" numFmtId="0" xfId="0" applyAlignment="1" applyBorder="1" applyFont="1">
      <alignment readingOrder="0"/>
    </xf>
    <xf borderId="0" fillId="0" fontId="4" numFmtId="0" xfId="0" applyAlignment="1" applyFont="1">
      <alignment horizontal="right" vertical="bottom"/>
    </xf>
    <xf borderId="4" fillId="4" fontId="2" numFmtId="0" xfId="0" applyAlignment="1" applyBorder="1" applyFont="1">
      <alignment horizontal="right" vertical="bottom"/>
    </xf>
    <xf borderId="0" fillId="4" fontId="4" numFmtId="0" xfId="0" applyAlignment="1" applyFont="1">
      <alignment horizontal="right" vertical="bottom"/>
    </xf>
    <xf borderId="5" fillId="4" fontId="1" numFmtId="0" xfId="0" applyAlignment="1" applyBorder="1" applyFont="1">
      <alignment readingOrder="0"/>
    </xf>
    <xf borderId="4" fillId="4" fontId="4" numFmtId="0" xfId="0" applyAlignment="1" applyBorder="1" applyFont="1">
      <alignment horizontal="right" vertical="bottom"/>
    </xf>
    <xf borderId="0" fillId="4" fontId="2" numFmtId="0" xfId="0" applyAlignment="1" applyFont="1">
      <alignment horizontal="right" vertical="bottom"/>
    </xf>
    <xf borderId="0" fillId="3" fontId="2" numFmtId="49" xfId="0" applyAlignment="1" applyFont="1" applyNumberFormat="1">
      <alignment horizontal="right" readingOrder="0" vertical="bottom"/>
    </xf>
    <xf borderId="0" fillId="0" fontId="2" numFmtId="0" xfId="0" applyAlignment="1" applyFont="1">
      <alignment horizontal="right" readingOrder="0" vertical="bottom"/>
    </xf>
    <xf borderId="4" fillId="4" fontId="2" numFmtId="0" xfId="0" applyAlignment="1" applyBorder="1" applyFont="1">
      <alignment horizontal="right" readingOrder="0" vertical="bottom"/>
    </xf>
    <xf borderId="0" fillId="4" fontId="2" numFmtId="0" xfId="0" applyAlignment="1" applyFont="1">
      <alignment horizontal="right" readingOrder="0" vertical="bottom"/>
    </xf>
    <xf borderId="0" fillId="5" fontId="2" numFmtId="0" xfId="0" applyAlignment="1" applyFill="1" applyFont="1">
      <alignment horizontal="right" vertical="bottom"/>
    </xf>
    <xf borderId="0" fillId="6" fontId="2" numFmtId="49" xfId="0" applyAlignment="1" applyFill="1" applyFont="1" applyNumberFormat="1">
      <alignment horizontal="right" vertical="bottom"/>
    </xf>
    <xf borderId="0" fillId="0" fontId="4" numFmtId="0" xfId="0" applyAlignment="1" applyFont="1">
      <alignment horizontal="right" readingOrder="0" vertical="bottom"/>
    </xf>
    <xf borderId="4" fillId="4" fontId="4" numFmtId="0" xfId="0" applyAlignment="1" applyBorder="1" applyFont="1">
      <alignment horizontal="right" readingOrder="0" vertical="bottom"/>
    </xf>
    <xf borderId="0" fillId="5" fontId="1" numFmtId="0" xfId="0" applyAlignment="1" applyFont="1">
      <alignment readingOrder="0"/>
    </xf>
    <xf borderId="0" fillId="7" fontId="1" numFmtId="0" xfId="0" applyAlignment="1" applyFill="1" applyFont="1">
      <alignment readingOrder="0"/>
    </xf>
    <xf borderId="0" fillId="6" fontId="1" numFmtId="0" xfId="0" applyAlignment="1" applyFont="1">
      <alignment readingOrder="0"/>
    </xf>
    <xf borderId="0" fillId="0" fontId="2" numFmtId="0" xfId="0" applyAlignment="1" applyFont="1">
      <alignment vertical="bottom"/>
    </xf>
    <xf borderId="5" fillId="4" fontId="3" numFmtId="0" xfId="0" applyAlignment="1" applyBorder="1" applyFont="1">
      <alignment readingOrder="0"/>
    </xf>
    <xf borderId="0" fillId="5" fontId="4" numFmtId="0" xfId="0" applyAlignment="1" applyFont="1">
      <alignment horizontal="right" vertical="bottom"/>
    </xf>
    <xf borderId="0" fillId="6" fontId="2" numFmtId="49" xfId="0" applyAlignment="1" applyFont="1" applyNumberFormat="1">
      <alignment horizontal="right" readingOrder="0" vertical="bottom"/>
    </xf>
    <xf borderId="0" fillId="4" fontId="1" numFmtId="0" xfId="0" applyAlignment="1" applyFont="1">
      <alignment readingOrder="0"/>
    </xf>
    <xf borderId="0" fillId="2" fontId="2" numFmtId="49" xfId="0" applyAlignment="1" applyFont="1" applyNumberFormat="1">
      <alignment vertical="bottom"/>
    </xf>
    <xf borderId="0" fillId="2" fontId="4" numFmtId="0" xfId="0" applyAlignment="1" applyFont="1">
      <alignment horizontal="right" vertical="bottom"/>
    </xf>
    <xf borderId="0" fillId="2" fontId="2" numFmtId="0" xfId="0" applyAlignment="1" applyFont="1">
      <alignment horizontal="right" vertical="bottom"/>
    </xf>
    <xf borderId="4" fillId="2" fontId="2" numFmtId="0" xfId="0" applyAlignment="1" applyBorder="1" applyFont="1">
      <alignment horizontal="right" vertical="bottom"/>
    </xf>
    <xf borderId="5" fillId="2" fontId="4" numFmtId="0" xfId="0" applyAlignment="1" applyBorder="1" applyFont="1">
      <alignment horizontal="right" vertical="bottom"/>
    </xf>
    <xf borderId="0" fillId="2" fontId="2" numFmtId="49" xfId="0" applyAlignment="1" applyFont="1" applyNumberFormat="1">
      <alignment readingOrder="0" vertical="bottom"/>
    </xf>
    <xf borderId="0" fillId="2" fontId="4" numFmtId="0" xfId="0" applyAlignment="1" applyFont="1">
      <alignment horizontal="right" readingOrder="0" vertical="bottom"/>
    </xf>
    <xf borderId="0" fillId="2" fontId="2" numFmtId="0" xfId="0" applyAlignment="1" applyFont="1">
      <alignment horizontal="right" readingOrder="0" vertical="bottom"/>
    </xf>
    <xf borderId="4" fillId="2" fontId="2" numFmtId="0" xfId="0" applyAlignment="1" applyBorder="1" applyFont="1">
      <alignment horizontal="right" readingOrder="0" vertical="bottom"/>
    </xf>
    <xf borderId="5" fillId="2" fontId="2" numFmtId="0" xfId="0" applyAlignment="1" applyBorder="1" applyFont="1">
      <alignment horizontal="right" readingOrder="0" vertical="bottom"/>
    </xf>
    <xf borderId="5" fillId="2" fontId="2" numFmtId="0" xfId="0" applyAlignment="1" applyBorder="1" applyFont="1">
      <alignment horizontal="right" vertical="bottom"/>
    </xf>
    <xf borderId="4" fillId="2" fontId="4" numFmtId="0" xfId="0" applyAlignment="1" applyBorder="1" applyFont="1">
      <alignment horizontal="right" vertical="bottom"/>
    </xf>
    <xf borderId="6" fillId="2" fontId="2" numFmtId="0" xfId="0" applyAlignment="1" applyBorder="1" applyFont="1">
      <alignment horizontal="right" vertical="bottom"/>
    </xf>
    <xf borderId="7" fillId="2" fontId="4" numFmtId="0" xfId="0" applyAlignment="1" applyBorder="1" applyFont="1">
      <alignment horizontal="right" vertical="bottom"/>
    </xf>
    <xf borderId="8" fillId="2" fontId="2" numFmtId="0" xfId="0" applyAlignment="1" applyBorder="1" applyFont="1">
      <alignment horizontal="right" vertical="bottom"/>
    </xf>
    <xf borderId="0" fillId="0" fontId="2" numFmtId="0" xfId="0" applyAlignment="1" applyFont="1">
      <alignment horizontal="center" shrinkToFit="0" wrapText="0"/>
    </xf>
    <xf borderId="0" fillId="0" fontId="1" numFmtId="0" xfId="0" applyAlignment="1" applyFont="1">
      <alignment readingOrder="0" shrinkToFit="0" wrapText="1"/>
    </xf>
    <xf borderId="0" fillId="0" fontId="1" numFmtId="0" xfId="0" applyAlignment="1" applyFont="1">
      <alignment horizontal="center"/>
    </xf>
    <xf borderId="0" fillId="8" fontId="5" numFmtId="0" xfId="0" applyAlignment="1" applyFill="1" applyFont="1">
      <alignment horizontal="center" readingOrder="0"/>
    </xf>
    <xf borderId="0" fillId="2" fontId="2" numFmtId="0" xfId="0" applyAlignment="1" applyFont="1">
      <alignment horizontal="center" readingOrder="0" vertical="bottom"/>
    </xf>
    <xf borderId="0" fillId="2" fontId="1" numFmtId="0" xfId="0" applyAlignment="1" applyFont="1">
      <alignment readingOrder="0"/>
    </xf>
    <xf borderId="0" fillId="0" fontId="2" numFmtId="0" xfId="0" applyAlignment="1" applyFont="1">
      <alignment readingOrder="0" vertical="bottom"/>
    </xf>
    <xf borderId="0" fillId="9" fontId="5" numFmtId="0" xfId="0" applyAlignment="1" applyFill="1" applyFont="1">
      <alignment horizontal="center" readingOrder="0"/>
    </xf>
    <xf borderId="0" fillId="5" fontId="2" numFmtId="0" xfId="0" applyAlignment="1" applyFont="1">
      <alignment horizontal="right" readingOrder="0" vertical="bottom"/>
    </xf>
    <xf borderId="0" fillId="5" fontId="4" numFmtId="0" xfId="0" applyAlignment="1" applyFont="1">
      <alignment horizontal="right" readingOrder="0" vertical="bottom"/>
    </xf>
    <xf borderId="0" fillId="5" fontId="3" numFmtId="0" xfId="0" applyAlignment="1" applyFont="1">
      <alignment readingOrder="0"/>
    </xf>
    <xf borderId="0" fillId="10" fontId="4" numFmtId="0" xfId="0" applyAlignment="1" applyFill="1" applyFont="1">
      <alignment horizontal="right" vertical="bottom"/>
    </xf>
    <xf borderId="0" fillId="10" fontId="2" numFmtId="0" xfId="0" applyAlignment="1" applyFont="1">
      <alignment horizontal="right" vertical="bottom"/>
    </xf>
    <xf borderId="0" fillId="0" fontId="1" numFmtId="0" xfId="0" applyFont="1"/>
    <xf borderId="0" fillId="5" fontId="1" numFmtId="0" xfId="0" applyFont="1"/>
    <xf borderId="0" fillId="0" fontId="3" numFmtId="0" xfId="0" applyFont="1"/>
    <xf borderId="0" fillId="5" fontId="2" numFmtId="0" xfId="0" applyAlignment="1" applyFont="1">
      <alignment horizontal="center" readingOrder="0" vertical="bottom"/>
    </xf>
    <xf borderId="0" fillId="4" fontId="2" numFmtId="49" xfId="0" applyAlignment="1" applyFont="1" applyNumberFormat="1">
      <alignment horizontal="right" vertical="bottom"/>
    </xf>
    <xf borderId="0" fillId="4" fontId="2" numFmtId="49" xfId="0" applyAlignment="1" applyFont="1" applyNumberFormat="1">
      <alignment horizontal="right" readingOrder="0" vertical="bottom"/>
    </xf>
    <xf borderId="0" fillId="0" fontId="2" numFmtId="49" xfId="0" applyAlignment="1" applyFont="1" applyNumberFormat="1">
      <alignment horizontal="right" readingOrder="0" vertical="bottom"/>
    </xf>
    <xf borderId="0" fillId="2" fontId="2" numFmtId="49" xfId="0" applyAlignment="1" applyFont="1" applyNumberFormat="1">
      <alignment horizontal="right" vertical="bottom"/>
    </xf>
    <xf borderId="0" fillId="2" fontId="4" numFmtId="49" xfId="0" applyAlignment="1" applyFont="1" applyNumberFormat="1">
      <alignment horizontal="right" vertical="bottom"/>
    </xf>
    <xf borderId="0" fillId="5" fontId="2" numFmtId="0" xfId="0" applyAlignment="1" applyFont="1">
      <alignment horizontal="center" vertical="bottom"/>
    </xf>
    <xf borderId="0" fillId="0" fontId="2" numFmtId="4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4.25"/>
    <col customWidth="1" min="13" max="13" width="15.63"/>
  </cols>
  <sheetData>
    <row r="1">
      <c r="A1" s="1" t="s">
        <v>0</v>
      </c>
    </row>
    <row r="3">
      <c r="A3" s="2" t="s">
        <v>1</v>
      </c>
      <c r="B3" s="3" t="s">
        <v>2</v>
      </c>
      <c r="E3" s="3" t="s">
        <v>3</v>
      </c>
      <c r="H3" s="3" t="s">
        <v>4</v>
      </c>
    </row>
    <row r="4">
      <c r="A4" s="2"/>
      <c r="B4" s="4" t="s">
        <v>5</v>
      </c>
      <c r="C4" s="5" t="s">
        <v>6</v>
      </c>
      <c r="D4" s="1" t="s">
        <v>7</v>
      </c>
      <c r="E4" s="4" t="s">
        <v>8</v>
      </c>
      <c r="F4" s="5" t="s">
        <v>9</v>
      </c>
      <c r="G4" s="1" t="s">
        <v>7</v>
      </c>
      <c r="H4" s="4" t="s">
        <v>8</v>
      </c>
      <c r="I4" s="5" t="s">
        <v>9</v>
      </c>
      <c r="J4" s="1" t="s">
        <v>7</v>
      </c>
    </row>
    <row r="5">
      <c r="A5" s="6" t="s">
        <v>10</v>
      </c>
      <c r="B5" s="7">
        <v>82.8</v>
      </c>
      <c r="C5" s="7">
        <v>72.08</v>
      </c>
      <c r="D5" s="8">
        <v>86.4</v>
      </c>
      <c r="E5" s="9">
        <v>63.25</v>
      </c>
      <c r="F5" s="10">
        <v>59.35</v>
      </c>
      <c r="G5" s="11">
        <v>62.51</v>
      </c>
      <c r="H5" s="12">
        <v>76.19</v>
      </c>
      <c r="I5" s="7">
        <v>28.57</v>
      </c>
      <c r="J5" s="1">
        <v>71.42</v>
      </c>
    </row>
    <row r="6">
      <c r="A6" s="6" t="s">
        <v>11</v>
      </c>
      <c r="B6" s="12">
        <v>84.62</v>
      </c>
      <c r="C6" s="7">
        <v>82.06</v>
      </c>
      <c r="D6" s="1">
        <v>79.1</v>
      </c>
      <c r="E6" s="13">
        <v>61.5</v>
      </c>
      <c r="F6" s="14">
        <v>70.72</v>
      </c>
      <c r="G6" s="15">
        <v>67.15</v>
      </c>
      <c r="H6" s="12">
        <v>80.0</v>
      </c>
      <c r="I6" s="7">
        <v>50.0</v>
      </c>
      <c r="J6" s="1">
        <v>35.0</v>
      </c>
    </row>
    <row r="7">
      <c r="A7" s="6" t="s">
        <v>12</v>
      </c>
      <c r="B7" s="12">
        <v>85.73</v>
      </c>
      <c r="C7" s="7">
        <v>79.73</v>
      </c>
      <c r="D7" s="1">
        <v>81.39</v>
      </c>
      <c r="E7" s="16">
        <v>72.42</v>
      </c>
      <c r="F7" s="17">
        <v>62.78</v>
      </c>
      <c r="G7" s="15">
        <v>67.18</v>
      </c>
      <c r="H7" s="12">
        <v>87.5</v>
      </c>
      <c r="I7" s="7">
        <v>25.0</v>
      </c>
      <c r="J7" s="1">
        <v>62.5</v>
      </c>
    </row>
    <row r="8">
      <c r="A8" s="18" t="s">
        <v>13</v>
      </c>
      <c r="B8" s="19">
        <v>88.78</v>
      </c>
      <c r="C8" s="19">
        <v>78.18</v>
      </c>
      <c r="D8" s="1">
        <v>79.34</v>
      </c>
      <c r="E8" s="20">
        <v>64.82</v>
      </c>
      <c r="F8" s="21">
        <v>68.05</v>
      </c>
      <c r="G8" s="15">
        <v>65.42</v>
      </c>
      <c r="H8" s="19">
        <v>71.42</v>
      </c>
      <c r="I8" s="19">
        <v>42.85</v>
      </c>
      <c r="J8" s="1">
        <v>57.14</v>
      </c>
    </row>
    <row r="9">
      <c r="A9" s="6" t="s">
        <v>14</v>
      </c>
      <c r="B9" s="12">
        <v>85.04</v>
      </c>
      <c r="C9" s="7">
        <v>68.83</v>
      </c>
      <c r="D9" s="1">
        <v>83.65</v>
      </c>
      <c r="E9" s="16">
        <v>68.27</v>
      </c>
      <c r="F9" s="17">
        <v>66.23</v>
      </c>
      <c r="G9" s="15">
        <v>60.5</v>
      </c>
      <c r="H9" s="12">
        <v>75.0</v>
      </c>
      <c r="I9" s="7">
        <v>41.66</v>
      </c>
      <c r="J9" s="1">
        <v>58.33</v>
      </c>
    </row>
    <row r="10">
      <c r="A10" s="6" t="s">
        <v>15</v>
      </c>
      <c r="B10" s="12">
        <v>85.89</v>
      </c>
      <c r="C10" s="7">
        <v>65.38</v>
      </c>
      <c r="D10" s="1">
        <v>83.2</v>
      </c>
      <c r="E10" s="16">
        <v>72.18</v>
      </c>
      <c r="F10" s="17">
        <v>46.31</v>
      </c>
      <c r="G10" s="15">
        <v>56.92</v>
      </c>
      <c r="H10" s="7">
        <v>53.33</v>
      </c>
      <c r="I10" s="7">
        <v>26.66</v>
      </c>
      <c r="J10" s="8">
        <v>66.66</v>
      </c>
    </row>
    <row r="11">
      <c r="A11" s="6" t="s">
        <v>16</v>
      </c>
      <c r="B11" s="12">
        <v>84.03</v>
      </c>
      <c r="C11" s="7">
        <v>67.72</v>
      </c>
      <c r="D11" s="1">
        <v>83.21</v>
      </c>
      <c r="E11" s="16">
        <v>70.14</v>
      </c>
      <c r="F11" s="22">
        <v>62.9</v>
      </c>
      <c r="G11" s="15">
        <v>70.02</v>
      </c>
      <c r="H11" s="12">
        <v>75.0</v>
      </c>
      <c r="I11" s="12">
        <v>75.0</v>
      </c>
      <c r="J11" s="1">
        <v>66.66</v>
      </c>
      <c r="L11" s="1" t="s">
        <v>17</v>
      </c>
    </row>
    <row r="12">
      <c r="A12" s="23" t="s">
        <v>18</v>
      </c>
      <c r="B12" s="24">
        <v>79.72</v>
      </c>
      <c r="C12" s="19">
        <v>82.12</v>
      </c>
      <c r="D12" s="1">
        <v>79.35</v>
      </c>
      <c r="E12" s="25">
        <v>64.22</v>
      </c>
      <c r="F12" s="26">
        <v>59.22</v>
      </c>
      <c r="G12" s="15">
        <v>62.18</v>
      </c>
      <c r="H12" s="24">
        <v>43.75</v>
      </c>
      <c r="I12" s="19">
        <v>31.25</v>
      </c>
      <c r="J12" s="1">
        <v>100.0</v>
      </c>
      <c r="L12" s="27" t="s">
        <v>19</v>
      </c>
      <c r="M12" s="28" t="s">
        <v>20</v>
      </c>
    </row>
    <row r="13">
      <c r="A13" s="23" t="s">
        <v>21</v>
      </c>
      <c r="B13" s="24">
        <v>82.37</v>
      </c>
      <c r="C13" s="19">
        <v>78.92</v>
      </c>
      <c r="D13" s="1">
        <v>79.85</v>
      </c>
      <c r="E13" s="25">
        <v>64.428</v>
      </c>
      <c r="F13" s="26">
        <v>56.76</v>
      </c>
      <c r="G13" s="15">
        <v>62.37</v>
      </c>
      <c r="H13" s="24">
        <v>57.44</v>
      </c>
      <c r="I13" s="19">
        <v>40.42</v>
      </c>
      <c r="J13" s="1">
        <v>100.0</v>
      </c>
      <c r="L13" s="29" t="s">
        <v>22</v>
      </c>
    </row>
    <row r="14">
      <c r="A14" s="23" t="s">
        <v>23</v>
      </c>
      <c r="B14" s="24">
        <v>83.99</v>
      </c>
      <c r="C14" s="19">
        <v>84.97</v>
      </c>
      <c r="D14" s="1">
        <v>78.78</v>
      </c>
      <c r="E14" s="25">
        <v>66.11</v>
      </c>
      <c r="F14" s="26">
        <v>49.1</v>
      </c>
      <c r="G14" s="15">
        <v>61.93</v>
      </c>
      <c r="H14" s="24">
        <v>45.45</v>
      </c>
      <c r="I14" s="19">
        <v>18.18</v>
      </c>
      <c r="J14" s="1">
        <v>100.0</v>
      </c>
      <c r="L14" s="29" t="s">
        <v>24</v>
      </c>
    </row>
    <row r="15">
      <c r="A15" s="23" t="s">
        <v>25</v>
      </c>
      <c r="B15" s="7">
        <v>84.43</v>
      </c>
      <c r="C15" s="7">
        <v>71.83</v>
      </c>
      <c r="D15" s="8">
        <v>84.51</v>
      </c>
      <c r="E15" s="13">
        <v>69.89</v>
      </c>
      <c r="F15" s="22">
        <v>57.59</v>
      </c>
      <c r="G15" s="30">
        <v>72.84</v>
      </c>
      <c r="H15" s="7">
        <v>63.64</v>
      </c>
      <c r="I15" s="7">
        <v>72.72</v>
      </c>
      <c r="J15" s="8">
        <v>90.9</v>
      </c>
      <c r="L15" s="29" t="s">
        <v>26</v>
      </c>
    </row>
    <row r="16">
      <c r="A16" s="23" t="s">
        <v>27</v>
      </c>
      <c r="B16" s="19">
        <v>80.39</v>
      </c>
      <c r="C16" s="19">
        <v>80.24</v>
      </c>
      <c r="D16" s="8">
        <v>80.72</v>
      </c>
      <c r="E16" s="20">
        <v>60.46</v>
      </c>
      <c r="F16" s="26">
        <v>63.96</v>
      </c>
      <c r="G16" s="30">
        <v>62.55</v>
      </c>
      <c r="H16" s="19">
        <v>63.88</v>
      </c>
      <c r="I16" s="19">
        <v>55.55</v>
      </c>
      <c r="J16" s="8">
        <v>66.66</v>
      </c>
      <c r="L16" s="29" t="s">
        <v>28</v>
      </c>
    </row>
    <row r="17">
      <c r="A17" s="23" t="s">
        <v>29</v>
      </c>
      <c r="B17" s="19">
        <v>83.38</v>
      </c>
      <c r="C17" s="19">
        <v>81.07</v>
      </c>
      <c r="D17" s="8">
        <v>82.25</v>
      </c>
      <c r="E17" s="20">
        <v>57.89</v>
      </c>
      <c r="F17" s="26">
        <v>59.98</v>
      </c>
      <c r="G17" s="30">
        <v>64.17</v>
      </c>
      <c r="H17" s="19">
        <v>50.0</v>
      </c>
      <c r="I17" s="19">
        <v>62.5</v>
      </c>
      <c r="J17" s="8">
        <v>100.0</v>
      </c>
      <c r="L17" s="29" t="s">
        <v>30</v>
      </c>
    </row>
    <row r="18">
      <c r="A18" s="23" t="s">
        <v>31</v>
      </c>
      <c r="B18" s="7">
        <v>78.39</v>
      </c>
      <c r="C18" s="7">
        <v>73.76</v>
      </c>
      <c r="D18" s="8">
        <v>82.92</v>
      </c>
      <c r="E18" s="13">
        <v>57.82</v>
      </c>
      <c r="F18" s="31">
        <v>61.29</v>
      </c>
      <c r="G18" s="15">
        <v>58.5</v>
      </c>
      <c r="H18" s="7">
        <v>60.0</v>
      </c>
      <c r="I18" s="7">
        <v>40.0</v>
      </c>
      <c r="J18" s="8">
        <v>80.0</v>
      </c>
      <c r="L18" s="29" t="s">
        <v>32</v>
      </c>
    </row>
    <row r="19">
      <c r="A19" s="32" t="s">
        <v>33</v>
      </c>
      <c r="B19" s="19">
        <v>81.4</v>
      </c>
      <c r="C19" s="19">
        <v>79.2</v>
      </c>
      <c r="D19" s="8">
        <v>81.34</v>
      </c>
      <c r="E19" s="20">
        <v>63.71</v>
      </c>
      <c r="F19" s="26">
        <v>62.51</v>
      </c>
      <c r="G19" s="15">
        <v>64.03</v>
      </c>
      <c r="H19" s="19">
        <v>68.42</v>
      </c>
      <c r="I19" s="24">
        <v>68.42</v>
      </c>
      <c r="J19" s="8">
        <v>100.0</v>
      </c>
      <c r="L19" s="29" t="s">
        <v>34</v>
      </c>
    </row>
    <row r="20">
      <c r="A20" s="32" t="s">
        <v>35</v>
      </c>
      <c r="B20" s="19">
        <v>85.48</v>
      </c>
      <c r="C20" s="19">
        <v>80.78</v>
      </c>
      <c r="D20" s="8">
        <v>81.3</v>
      </c>
      <c r="E20" s="20">
        <v>67.22</v>
      </c>
      <c r="F20" s="26">
        <v>57.44</v>
      </c>
      <c r="G20" s="15">
        <v>66.11</v>
      </c>
      <c r="H20" s="19">
        <v>76.47</v>
      </c>
      <c r="I20" s="24">
        <v>58.82</v>
      </c>
      <c r="J20" s="8">
        <v>100.0</v>
      </c>
      <c r="L20" s="29" t="s">
        <v>36</v>
      </c>
    </row>
    <row r="21">
      <c r="A21" s="23" t="s">
        <v>37</v>
      </c>
      <c r="B21" s="12">
        <v>83.62</v>
      </c>
      <c r="C21" s="7">
        <v>73.07</v>
      </c>
      <c r="D21" s="1">
        <v>82.68</v>
      </c>
      <c r="E21" s="13">
        <v>68.36</v>
      </c>
      <c r="F21" s="22">
        <v>57.9</v>
      </c>
      <c r="G21" s="30">
        <v>71.51</v>
      </c>
      <c r="H21" s="7">
        <v>77.78</v>
      </c>
      <c r="I21" s="7">
        <v>77.77</v>
      </c>
      <c r="J21" s="8">
        <v>100.0</v>
      </c>
      <c r="L21" s="29" t="s">
        <v>38</v>
      </c>
    </row>
    <row r="22">
      <c r="A22" s="23" t="s">
        <v>39</v>
      </c>
      <c r="B22" s="7">
        <v>83.72</v>
      </c>
      <c r="C22" s="7">
        <v>82.02</v>
      </c>
      <c r="D22" s="8">
        <v>84.19</v>
      </c>
      <c r="E22" s="13">
        <v>72.89</v>
      </c>
      <c r="F22" s="31">
        <v>73.79</v>
      </c>
      <c r="G22" s="15">
        <v>61.93</v>
      </c>
      <c r="H22" s="12">
        <v>88.57</v>
      </c>
      <c r="I22" s="7">
        <v>71.42</v>
      </c>
      <c r="J22" s="1">
        <v>45.71</v>
      </c>
      <c r="L22" s="29" t="s">
        <v>40</v>
      </c>
    </row>
    <row r="23">
      <c r="A23" s="32" t="s">
        <v>41</v>
      </c>
      <c r="B23" s="19">
        <v>86.63</v>
      </c>
      <c r="C23" s="19">
        <v>82.19</v>
      </c>
      <c r="D23" s="8">
        <v>80.56</v>
      </c>
      <c r="E23" s="20">
        <v>80.16</v>
      </c>
      <c r="F23" s="26">
        <v>61.85</v>
      </c>
      <c r="G23" s="15">
        <v>61.77</v>
      </c>
      <c r="H23" s="24">
        <v>38.46</v>
      </c>
      <c r="I23" s="24">
        <v>53.84</v>
      </c>
      <c r="J23" s="1">
        <v>100.0</v>
      </c>
      <c r="L23" s="29" t="s">
        <v>42</v>
      </c>
    </row>
    <row r="24">
      <c r="A24" s="23" t="s">
        <v>43</v>
      </c>
      <c r="B24" s="7">
        <v>82.33</v>
      </c>
      <c r="C24" s="7">
        <v>80.9</v>
      </c>
      <c r="D24" s="8">
        <v>83.58</v>
      </c>
      <c r="E24" s="13">
        <v>70.96</v>
      </c>
      <c r="F24" s="31">
        <v>73.45</v>
      </c>
      <c r="G24" s="15">
        <v>72.13</v>
      </c>
      <c r="H24" s="12">
        <v>87.09</v>
      </c>
      <c r="I24" s="7">
        <v>61.29</v>
      </c>
      <c r="J24" s="1">
        <v>80.64</v>
      </c>
      <c r="L24" s="29" t="s">
        <v>44</v>
      </c>
    </row>
    <row r="25">
      <c r="A25" s="23" t="s">
        <v>45</v>
      </c>
      <c r="B25" s="12">
        <v>82.8</v>
      </c>
      <c r="C25" s="7">
        <v>71.05</v>
      </c>
      <c r="D25" s="1">
        <v>81.63</v>
      </c>
      <c r="E25" s="16">
        <v>66.13</v>
      </c>
      <c r="F25" s="22">
        <v>61.29</v>
      </c>
      <c r="G25" s="15">
        <v>55.31</v>
      </c>
      <c r="H25" s="7">
        <v>40.0</v>
      </c>
      <c r="I25" s="7">
        <v>20.0</v>
      </c>
      <c r="J25" s="8">
        <v>60.0</v>
      </c>
      <c r="L25" s="29" t="s">
        <v>46</v>
      </c>
    </row>
    <row r="26">
      <c r="A26" s="23" t="s">
        <v>47</v>
      </c>
      <c r="B26" s="7">
        <v>81.82</v>
      </c>
      <c r="C26" s="7">
        <v>75.68</v>
      </c>
      <c r="D26" s="8">
        <v>82.46</v>
      </c>
      <c r="E26" s="16">
        <v>63.81</v>
      </c>
      <c r="F26" s="22">
        <v>56.64</v>
      </c>
      <c r="G26" s="15">
        <v>58.36</v>
      </c>
      <c r="H26" s="7">
        <v>61.54</v>
      </c>
      <c r="I26" s="12">
        <v>76.92</v>
      </c>
      <c r="J26" s="8">
        <v>76.92</v>
      </c>
      <c r="L26" s="29" t="s">
        <v>48</v>
      </c>
    </row>
    <row r="27">
      <c r="A27" s="23" t="s">
        <v>49</v>
      </c>
      <c r="B27" s="19">
        <v>83.24</v>
      </c>
      <c r="C27" s="19">
        <v>80.38</v>
      </c>
      <c r="D27" s="1">
        <v>82.72</v>
      </c>
      <c r="E27" s="20">
        <v>71.47</v>
      </c>
      <c r="F27" s="26">
        <v>66.83</v>
      </c>
      <c r="G27" s="15">
        <v>22.98</v>
      </c>
      <c r="H27" s="19">
        <v>66.0</v>
      </c>
      <c r="I27" s="19">
        <v>42.0</v>
      </c>
      <c r="J27" s="1">
        <v>100.0</v>
      </c>
      <c r="L27" s="29" t="s">
        <v>50</v>
      </c>
    </row>
    <row r="28">
      <c r="A28" s="23" t="s">
        <v>51</v>
      </c>
      <c r="B28" s="19">
        <v>82.98</v>
      </c>
      <c r="C28" s="19">
        <v>82.39</v>
      </c>
      <c r="D28" s="1">
        <v>85.29</v>
      </c>
      <c r="E28" s="20">
        <v>71.63</v>
      </c>
      <c r="F28" s="21">
        <v>70.74</v>
      </c>
      <c r="G28" s="15">
        <v>74.17</v>
      </c>
      <c r="H28" s="19">
        <v>83.33</v>
      </c>
      <c r="I28" s="19">
        <v>66.66</v>
      </c>
      <c r="J28" s="1">
        <v>83.33</v>
      </c>
      <c r="L28" s="29" t="s">
        <v>52</v>
      </c>
    </row>
    <row r="29">
      <c r="A29" s="23" t="s">
        <v>53</v>
      </c>
      <c r="B29" s="19">
        <v>83.86</v>
      </c>
      <c r="C29" s="19">
        <v>83.29</v>
      </c>
      <c r="D29" s="1">
        <v>85.77</v>
      </c>
      <c r="E29" s="20">
        <v>71.79</v>
      </c>
      <c r="F29" s="21">
        <v>67.43</v>
      </c>
      <c r="G29" s="15">
        <v>78.25</v>
      </c>
      <c r="H29" s="19">
        <v>80.0</v>
      </c>
      <c r="I29" s="19">
        <v>40.0</v>
      </c>
      <c r="J29" s="1">
        <v>93.33</v>
      </c>
      <c r="L29" s="29" t="s">
        <v>54</v>
      </c>
    </row>
    <row r="30">
      <c r="A30" s="23" t="s">
        <v>55</v>
      </c>
      <c r="B30" s="19">
        <v>84.76</v>
      </c>
      <c r="C30" s="19">
        <v>79.99</v>
      </c>
      <c r="D30" s="1">
        <v>84.82</v>
      </c>
      <c r="E30" s="20">
        <v>79.11</v>
      </c>
      <c r="F30" s="21">
        <v>72.61</v>
      </c>
      <c r="G30" s="15">
        <v>84.08</v>
      </c>
      <c r="H30" s="19">
        <v>66.666</v>
      </c>
      <c r="I30" s="19">
        <v>40.0</v>
      </c>
      <c r="J30" s="1">
        <v>53.33</v>
      </c>
      <c r="L30" s="29" t="s">
        <v>56</v>
      </c>
    </row>
    <row r="31">
      <c r="A31" s="32" t="s">
        <v>57</v>
      </c>
      <c r="B31" s="19">
        <v>82.0</v>
      </c>
      <c r="C31" s="19">
        <v>82.37</v>
      </c>
      <c r="D31" s="1">
        <v>82.15</v>
      </c>
      <c r="E31" s="20">
        <v>64.18</v>
      </c>
      <c r="F31" s="21">
        <v>61.95</v>
      </c>
      <c r="G31" s="15">
        <v>56.07</v>
      </c>
      <c r="H31" s="19">
        <v>68.75</v>
      </c>
      <c r="I31" s="19">
        <v>75.0</v>
      </c>
      <c r="J31" s="1">
        <v>81.25</v>
      </c>
      <c r="L31" s="29" t="s">
        <v>58</v>
      </c>
    </row>
    <row r="32">
      <c r="A32" s="23" t="s">
        <v>59</v>
      </c>
      <c r="B32" s="12">
        <v>82.05</v>
      </c>
      <c r="C32" s="7">
        <v>80.89</v>
      </c>
      <c r="D32" s="1">
        <v>80.39</v>
      </c>
      <c r="E32" s="13">
        <v>65.72</v>
      </c>
      <c r="F32" s="14">
        <v>68.37</v>
      </c>
      <c r="G32" s="15">
        <v>67.78</v>
      </c>
      <c r="H32" s="12">
        <v>84.21</v>
      </c>
      <c r="I32" s="7">
        <v>78.94</v>
      </c>
      <c r="J32" s="1">
        <v>68.42</v>
      </c>
      <c r="L32" s="29" t="s">
        <v>60</v>
      </c>
    </row>
    <row r="33">
      <c r="A33" s="32" t="s">
        <v>61</v>
      </c>
      <c r="B33" s="24">
        <v>84.34</v>
      </c>
      <c r="C33" s="19">
        <v>82.66</v>
      </c>
      <c r="D33" s="1">
        <v>81.14</v>
      </c>
      <c r="E33" s="20">
        <v>75.14</v>
      </c>
      <c r="F33" s="33">
        <v>64.27</v>
      </c>
      <c r="G33" s="15">
        <v>71.17</v>
      </c>
      <c r="H33" s="24">
        <v>48.14</v>
      </c>
      <c r="I33" s="24">
        <v>51.85</v>
      </c>
      <c r="J33" s="1">
        <v>100.0</v>
      </c>
    </row>
    <row r="34">
      <c r="A34" s="6" t="s">
        <v>62</v>
      </c>
      <c r="B34" s="7">
        <v>84.15</v>
      </c>
      <c r="C34" s="7">
        <v>84.21</v>
      </c>
      <c r="D34" s="8">
        <v>84.95</v>
      </c>
      <c r="E34" s="13">
        <v>72.15</v>
      </c>
      <c r="F34" s="14">
        <v>73.69</v>
      </c>
      <c r="G34" s="15">
        <v>65.31</v>
      </c>
      <c r="H34" s="12">
        <v>81.48</v>
      </c>
      <c r="I34" s="7">
        <v>55.55</v>
      </c>
      <c r="J34" s="1">
        <v>51.85</v>
      </c>
    </row>
    <row r="35">
      <c r="A35" s="18" t="s">
        <v>63</v>
      </c>
      <c r="B35" s="19">
        <v>80.66</v>
      </c>
      <c r="C35" s="19">
        <v>81.33</v>
      </c>
      <c r="D35" s="1">
        <v>78.52</v>
      </c>
      <c r="E35" s="20">
        <v>79.68</v>
      </c>
      <c r="F35" s="21">
        <v>80.97</v>
      </c>
      <c r="G35" s="15">
        <v>65.34</v>
      </c>
      <c r="H35" s="19">
        <v>100.0</v>
      </c>
      <c r="I35" s="19">
        <v>100.0</v>
      </c>
      <c r="J35" s="1">
        <v>75.0</v>
      </c>
    </row>
    <row r="36">
      <c r="A36" s="18" t="s">
        <v>64</v>
      </c>
      <c r="B36" s="19">
        <v>82.95</v>
      </c>
      <c r="C36" s="19">
        <v>77.54</v>
      </c>
      <c r="D36" s="1">
        <v>82.18</v>
      </c>
      <c r="E36" s="20">
        <v>83.92</v>
      </c>
      <c r="F36" s="21">
        <v>62.61</v>
      </c>
      <c r="G36" s="15">
        <v>69.72</v>
      </c>
      <c r="H36" s="19">
        <v>42.85</v>
      </c>
      <c r="I36" s="19">
        <v>42.85</v>
      </c>
      <c r="J36" s="1">
        <v>71.42</v>
      </c>
    </row>
    <row r="37">
      <c r="A37" s="18" t="s">
        <v>65</v>
      </c>
      <c r="B37" s="19">
        <v>86.09</v>
      </c>
      <c r="C37" s="19">
        <v>79.2</v>
      </c>
      <c r="D37" s="1">
        <v>86.01</v>
      </c>
      <c r="E37" s="20">
        <v>82.86</v>
      </c>
      <c r="F37" s="33">
        <v>70.52</v>
      </c>
      <c r="G37" s="15">
        <v>85.49</v>
      </c>
      <c r="H37" s="19">
        <v>77.77</v>
      </c>
      <c r="I37" s="1">
        <v>44.44</v>
      </c>
      <c r="J37" s="1">
        <v>88.88</v>
      </c>
    </row>
    <row r="38">
      <c r="A38" s="18" t="s">
        <v>66</v>
      </c>
      <c r="B38" s="7">
        <v>83.37</v>
      </c>
      <c r="C38" s="12">
        <v>86.06</v>
      </c>
      <c r="D38" s="1">
        <v>84.64</v>
      </c>
      <c r="E38" s="13">
        <v>70.55</v>
      </c>
      <c r="F38" s="17">
        <v>70.71</v>
      </c>
      <c r="G38" s="30">
        <v>74.14</v>
      </c>
      <c r="H38" s="7">
        <v>41.66</v>
      </c>
      <c r="I38" s="7">
        <v>41.66</v>
      </c>
      <c r="J38" s="8">
        <v>58.33</v>
      </c>
    </row>
    <row r="39">
      <c r="A39" s="18" t="s">
        <v>67</v>
      </c>
      <c r="B39" s="19">
        <v>83.19</v>
      </c>
      <c r="C39" s="24">
        <v>84.28</v>
      </c>
      <c r="D39" s="1">
        <v>82.58</v>
      </c>
      <c r="E39" s="20">
        <v>75.27</v>
      </c>
      <c r="F39" s="33">
        <v>26.08</v>
      </c>
      <c r="G39" s="30">
        <v>75.09</v>
      </c>
      <c r="H39" s="19">
        <v>56.25</v>
      </c>
      <c r="I39" s="19">
        <v>22.91</v>
      </c>
      <c r="J39" s="8">
        <v>45.83</v>
      </c>
    </row>
    <row r="40">
      <c r="A40" s="18" t="s">
        <v>68</v>
      </c>
      <c r="B40" s="7">
        <v>82.25</v>
      </c>
      <c r="C40" s="7">
        <v>78.6</v>
      </c>
      <c r="D40" s="8">
        <v>83.63</v>
      </c>
      <c r="E40" s="13">
        <v>67.8</v>
      </c>
      <c r="F40" s="17">
        <v>64.68</v>
      </c>
      <c r="G40" s="30">
        <v>78.74</v>
      </c>
      <c r="H40" s="7">
        <v>57.14</v>
      </c>
      <c r="I40" s="7">
        <v>42.85</v>
      </c>
      <c r="J40" s="8">
        <v>71.42</v>
      </c>
    </row>
    <row r="41">
      <c r="A41" s="18" t="s">
        <v>69</v>
      </c>
      <c r="B41" s="19">
        <v>79.47</v>
      </c>
      <c r="C41" s="19">
        <v>80.91</v>
      </c>
      <c r="D41" s="8">
        <v>30.76</v>
      </c>
      <c r="E41" s="20">
        <v>53.04</v>
      </c>
      <c r="F41" s="33">
        <v>54.88</v>
      </c>
      <c r="G41" s="30">
        <v>54.51</v>
      </c>
      <c r="H41" s="19">
        <v>38.46</v>
      </c>
      <c r="I41" s="19">
        <v>26.92</v>
      </c>
      <c r="J41" s="8">
        <v>30.76</v>
      </c>
    </row>
    <row r="42">
      <c r="A42" s="18" t="s">
        <v>70</v>
      </c>
      <c r="B42" s="12">
        <v>88.95</v>
      </c>
      <c r="C42" s="7">
        <v>81.25</v>
      </c>
      <c r="D42" s="1">
        <v>80.9</v>
      </c>
      <c r="E42" s="13">
        <v>65.06</v>
      </c>
      <c r="F42" s="14">
        <v>72.19</v>
      </c>
      <c r="G42" s="15">
        <v>69.64</v>
      </c>
      <c r="H42" s="7">
        <v>36.36</v>
      </c>
      <c r="I42" s="7">
        <v>36.36</v>
      </c>
      <c r="J42" s="8">
        <v>63.63</v>
      </c>
    </row>
    <row r="43">
      <c r="A43" s="18" t="s">
        <v>71</v>
      </c>
      <c r="B43" s="19">
        <v>83.1</v>
      </c>
      <c r="C43" s="19">
        <v>81.14</v>
      </c>
      <c r="D43" s="1">
        <v>79.46</v>
      </c>
      <c r="E43" s="20">
        <v>69.3</v>
      </c>
      <c r="F43" s="21">
        <v>66.89</v>
      </c>
      <c r="G43" s="15">
        <v>53.14</v>
      </c>
      <c r="H43" s="19">
        <v>50.0</v>
      </c>
      <c r="I43" s="19">
        <v>50.0</v>
      </c>
      <c r="J43" s="1">
        <v>50.0</v>
      </c>
    </row>
    <row r="44">
      <c r="A44" s="18" t="s">
        <v>72</v>
      </c>
      <c r="B44" s="7">
        <v>82.18</v>
      </c>
      <c r="C44" s="12">
        <v>86.22</v>
      </c>
      <c r="D44" s="1">
        <v>79.95</v>
      </c>
      <c r="E44" s="13">
        <v>49.2</v>
      </c>
      <c r="F44" s="14">
        <v>75.16</v>
      </c>
      <c r="G44" s="15">
        <v>58.1</v>
      </c>
      <c r="H44" s="12">
        <v>80.0</v>
      </c>
      <c r="I44" s="7">
        <v>40.0</v>
      </c>
      <c r="J44" s="1">
        <v>60.0</v>
      </c>
    </row>
    <row r="45">
      <c r="A45" s="18" t="s">
        <v>73</v>
      </c>
      <c r="B45" s="12">
        <v>85.67</v>
      </c>
      <c r="C45" s="7">
        <v>77.96</v>
      </c>
      <c r="D45" s="1">
        <v>85.55</v>
      </c>
      <c r="E45" s="13">
        <v>59.83</v>
      </c>
      <c r="F45" s="14">
        <v>68.41</v>
      </c>
      <c r="G45" s="15">
        <v>65.38</v>
      </c>
      <c r="H45" s="7">
        <v>50.0</v>
      </c>
      <c r="I45" s="12">
        <v>75.0</v>
      </c>
      <c r="J45" s="8">
        <v>75.0</v>
      </c>
    </row>
    <row r="46">
      <c r="A46" s="18" t="s">
        <v>74</v>
      </c>
      <c r="B46" s="7">
        <v>83.35</v>
      </c>
      <c r="C46" s="7">
        <v>83.61</v>
      </c>
      <c r="D46" s="8">
        <v>84.68</v>
      </c>
      <c r="E46" s="13">
        <v>54.84</v>
      </c>
      <c r="F46" s="17">
        <v>71.48</v>
      </c>
      <c r="G46" s="30">
        <v>82.47</v>
      </c>
      <c r="H46" s="7">
        <v>71.42</v>
      </c>
      <c r="I46" s="12">
        <v>85.71</v>
      </c>
      <c r="J46" s="8">
        <v>85.71</v>
      </c>
    </row>
    <row r="47">
      <c r="A47" s="34" t="s">
        <v>75</v>
      </c>
      <c r="B47" s="35">
        <f t="shared" ref="B47:J47" si="1">AVERAGE(B5:B46)</f>
        <v>83.47547619</v>
      </c>
      <c r="C47" s="36">
        <f t="shared" si="1"/>
        <v>79.19190476</v>
      </c>
      <c r="D47" s="36">
        <f t="shared" si="1"/>
        <v>81.1547619</v>
      </c>
      <c r="E47" s="37">
        <f t="shared" si="1"/>
        <v>67.83757143</v>
      </c>
      <c r="F47" s="36">
        <f t="shared" si="1"/>
        <v>63.79952381</v>
      </c>
      <c r="G47" s="38">
        <f t="shared" si="1"/>
        <v>65.64190476</v>
      </c>
      <c r="H47" s="36">
        <f t="shared" si="1"/>
        <v>64.79561905</v>
      </c>
      <c r="I47" s="36">
        <f t="shared" si="1"/>
        <v>51.37</v>
      </c>
      <c r="J47" s="35">
        <f t="shared" si="1"/>
        <v>74.42928571</v>
      </c>
    </row>
    <row r="48">
      <c r="A48" s="39" t="s">
        <v>76</v>
      </c>
      <c r="B48" s="40"/>
      <c r="C48" s="41"/>
      <c r="D48" s="41"/>
      <c r="E48" s="42"/>
      <c r="F48" s="41"/>
      <c r="G48" s="43"/>
      <c r="H48" s="41"/>
      <c r="I48" s="41"/>
      <c r="J48" s="40"/>
    </row>
    <row r="49">
      <c r="A49" s="39" t="s">
        <v>77</v>
      </c>
      <c r="B49" s="36">
        <f t="shared" ref="B49:J49" si="2">AVERAGE(B5:B11,B34:B46)</f>
        <v>84.1135</v>
      </c>
      <c r="C49" s="36">
        <f t="shared" si="2"/>
        <v>78.8145</v>
      </c>
      <c r="D49" s="36">
        <f t="shared" si="2"/>
        <v>80.005</v>
      </c>
      <c r="E49" s="37">
        <f t="shared" si="2"/>
        <v>67.804</v>
      </c>
      <c r="F49" s="36">
        <f t="shared" si="2"/>
        <v>64.7305</v>
      </c>
      <c r="G49" s="44">
        <f t="shared" si="2"/>
        <v>67.3385</v>
      </c>
      <c r="H49" s="36">
        <f t="shared" si="2"/>
        <v>65.0915</v>
      </c>
      <c r="I49" s="36">
        <f t="shared" si="2"/>
        <v>47.6995</v>
      </c>
      <c r="J49" s="36">
        <f t="shared" si="2"/>
        <v>62.277</v>
      </c>
    </row>
    <row r="50">
      <c r="A50" s="39" t="s">
        <v>78</v>
      </c>
      <c r="B50" s="36">
        <f t="shared" ref="B50:J50" si="3">AVERAGE(B12:B33)</f>
        <v>82.89545455</v>
      </c>
      <c r="C50" s="36">
        <f t="shared" si="3"/>
        <v>79.535</v>
      </c>
      <c r="D50" s="36">
        <f t="shared" si="3"/>
        <v>82.2</v>
      </c>
      <c r="E50" s="37">
        <f t="shared" si="3"/>
        <v>67.86809091</v>
      </c>
      <c r="F50" s="36">
        <f t="shared" si="3"/>
        <v>62.95318182</v>
      </c>
      <c r="G50" s="44">
        <f t="shared" si="3"/>
        <v>64.09954545</v>
      </c>
      <c r="H50" s="36">
        <f t="shared" si="3"/>
        <v>64.52663636</v>
      </c>
      <c r="I50" s="36">
        <f t="shared" si="3"/>
        <v>54.70681818</v>
      </c>
      <c r="J50" s="36">
        <f t="shared" si="3"/>
        <v>85.47681818</v>
      </c>
    </row>
    <row r="51">
      <c r="A51" s="39" t="s">
        <v>79</v>
      </c>
      <c r="B51" s="36">
        <f t="shared" ref="B51:J51" si="4">AVERAGE(B5,B9:B11,B15,B18,B21,B25:B26)</f>
        <v>83.20222222</v>
      </c>
      <c r="C51" s="36">
        <f t="shared" si="4"/>
        <v>71.04444444</v>
      </c>
      <c r="D51" s="35">
        <f t="shared" si="4"/>
        <v>83.40666667</v>
      </c>
      <c r="E51" s="45">
        <f t="shared" si="4"/>
        <v>66.65</v>
      </c>
      <c r="F51" s="36">
        <f t="shared" si="4"/>
        <v>58.83333333</v>
      </c>
      <c r="G51" s="44">
        <f t="shared" si="4"/>
        <v>62.94111111</v>
      </c>
      <c r="H51" s="36">
        <f t="shared" si="4"/>
        <v>64.72</v>
      </c>
      <c r="I51" s="36">
        <f t="shared" si="4"/>
        <v>51.03333333</v>
      </c>
      <c r="J51" s="35">
        <f t="shared" si="4"/>
        <v>74.54333333</v>
      </c>
    </row>
    <row r="52">
      <c r="A52" s="39" t="s">
        <v>80</v>
      </c>
      <c r="B52" s="35">
        <f t="shared" ref="B52:J52" si="5">AVERAGE(B6:B7,B22,B24,B32,B34)</f>
        <v>83.76666667</v>
      </c>
      <c r="C52" s="36">
        <f t="shared" si="5"/>
        <v>81.635</v>
      </c>
      <c r="D52" s="36">
        <f t="shared" si="5"/>
        <v>82.26666667</v>
      </c>
      <c r="E52" s="46">
        <f t="shared" si="5"/>
        <v>69.27333333</v>
      </c>
      <c r="F52" s="47">
        <f t="shared" si="5"/>
        <v>70.46666667</v>
      </c>
      <c r="G52" s="48">
        <f t="shared" si="5"/>
        <v>66.91333333</v>
      </c>
      <c r="H52" s="35">
        <f t="shared" si="5"/>
        <v>84.80833333</v>
      </c>
      <c r="I52" s="36">
        <f t="shared" si="5"/>
        <v>57.03333333</v>
      </c>
      <c r="J52" s="36">
        <f t="shared" si="5"/>
        <v>57.35333333</v>
      </c>
    </row>
    <row r="53">
      <c r="A53" s="49"/>
      <c r="B53" s="49"/>
      <c r="C53" s="49"/>
    </row>
    <row r="54">
      <c r="A54" s="50" t="s">
        <v>81</v>
      </c>
    </row>
    <row r="55">
      <c r="A55" s="49"/>
      <c r="B55" s="49"/>
      <c r="C55" s="49"/>
    </row>
    <row r="56">
      <c r="A56" s="1" t="s">
        <v>82</v>
      </c>
    </row>
    <row r="57">
      <c r="A57" s="49"/>
      <c r="B57" s="49"/>
      <c r="C57" s="49"/>
    </row>
    <row r="58">
      <c r="A58" s="49"/>
      <c r="B58" s="49"/>
      <c r="C58" s="49"/>
    </row>
    <row r="59">
      <c r="A59" s="49"/>
      <c r="B59" s="49"/>
      <c r="C59" s="49"/>
    </row>
    <row r="60">
      <c r="A60" s="49"/>
      <c r="B60" s="49"/>
      <c r="C60" s="49"/>
    </row>
    <row r="61">
      <c r="A61" s="49"/>
      <c r="B61" s="49"/>
      <c r="C61" s="49"/>
    </row>
    <row r="62">
      <c r="A62" s="49"/>
      <c r="B62" s="49"/>
      <c r="C62" s="49"/>
    </row>
    <row r="63">
      <c r="A63" s="49"/>
      <c r="B63" s="49"/>
      <c r="C63" s="49"/>
    </row>
    <row r="64">
      <c r="A64" s="49"/>
      <c r="B64" s="49"/>
      <c r="C64" s="49"/>
    </row>
    <row r="65">
      <c r="A65" s="49"/>
      <c r="B65" s="49"/>
      <c r="C65" s="49"/>
    </row>
    <row r="66">
      <c r="A66" s="49"/>
      <c r="B66" s="49"/>
      <c r="C66" s="49"/>
    </row>
    <row r="67">
      <c r="A67" s="49"/>
      <c r="B67" s="49"/>
      <c r="C67" s="49"/>
    </row>
    <row r="68">
      <c r="A68" s="49"/>
      <c r="B68" s="49"/>
      <c r="C68" s="49"/>
    </row>
    <row r="69">
      <c r="A69" s="49"/>
      <c r="B69" s="49"/>
      <c r="C69" s="49"/>
    </row>
    <row r="70">
      <c r="A70" s="49"/>
      <c r="B70" s="49"/>
      <c r="C70" s="49"/>
    </row>
    <row r="71">
      <c r="A71" s="49"/>
      <c r="B71" s="49"/>
      <c r="C71" s="49"/>
    </row>
    <row r="72">
      <c r="A72" s="49"/>
      <c r="B72" s="49"/>
      <c r="C72" s="49"/>
    </row>
    <row r="73">
      <c r="A73" s="49"/>
      <c r="B73" s="49"/>
      <c r="C73" s="49"/>
    </row>
    <row r="74">
      <c r="A74" s="49"/>
      <c r="B74" s="49"/>
      <c r="C74" s="49"/>
    </row>
    <row r="75">
      <c r="A75" s="49"/>
      <c r="B75" s="49"/>
      <c r="C75" s="49"/>
    </row>
    <row r="76">
      <c r="A76" s="49"/>
      <c r="B76" s="49"/>
      <c r="C76" s="49"/>
    </row>
    <row r="77">
      <c r="A77" s="49"/>
      <c r="B77" s="49"/>
      <c r="C77" s="49"/>
    </row>
    <row r="78">
      <c r="A78" s="49"/>
      <c r="B78" s="49"/>
      <c r="C78" s="49"/>
    </row>
    <row r="79">
      <c r="A79" s="49"/>
      <c r="B79" s="49"/>
      <c r="C79" s="49"/>
    </row>
    <row r="80">
      <c r="A80" s="49"/>
      <c r="B80" s="49"/>
      <c r="C80" s="49"/>
    </row>
    <row r="81">
      <c r="A81" s="49"/>
      <c r="B81" s="49"/>
      <c r="C81" s="49"/>
    </row>
    <row r="82">
      <c r="A82" s="49"/>
      <c r="B82" s="49"/>
      <c r="C82" s="49"/>
    </row>
    <row r="83">
      <c r="A83" s="49"/>
      <c r="B83" s="49"/>
      <c r="C83" s="49"/>
    </row>
    <row r="84">
      <c r="A84" s="49"/>
      <c r="B84" s="49"/>
      <c r="C84" s="49"/>
    </row>
    <row r="85">
      <c r="A85" s="49"/>
      <c r="B85" s="49"/>
      <c r="C85" s="49"/>
    </row>
    <row r="86">
      <c r="A86" s="49"/>
      <c r="B86" s="49"/>
      <c r="C86" s="49"/>
    </row>
    <row r="87">
      <c r="A87" s="49"/>
      <c r="B87" s="49"/>
      <c r="C87" s="49"/>
    </row>
    <row r="88">
      <c r="A88" s="49"/>
      <c r="B88" s="49"/>
      <c r="C88" s="49"/>
    </row>
    <row r="89">
      <c r="A89" s="49"/>
      <c r="B89" s="49"/>
      <c r="C89" s="49"/>
    </row>
    <row r="90">
      <c r="A90" s="49"/>
      <c r="B90" s="49"/>
      <c r="C90" s="49"/>
    </row>
  </sheetData>
  <mergeCells count="4">
    <mergeCell ref="B3:D3"/>
    <mergeCell ref="E3:G3"/>
    <mergeCell ref="H3:J3"/>
    <mergeCell ref="A54:J5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7.0"/>
    <col customWidth="1" min="5" max="6" width="7.75"/>
    <col customWidth="1" min="14" max="15" width="14.25"/>
    <col customWidth="1" min="16" max="17" width="19.75"/>
    <col customWidth="1" min="18" max="18" width="15.63"/>
  </cols>
  <sheetData>
    <row r="1">
      <c r="A1" s="1" t="s">
        <v>0</v>
      </c>
    </row>
    <row r="2">
      <c r="A2" s="51"/>
      <c r="B2" s="52" t="s">
        <v>83</v>
      </c>
      <c r="D2" s="52" t="s">
        <v>84</v>
      </c>
      <c r="Q2" s="52"/>
      <c r="R2" s="51"/>
      <c r="S2" s="51"/>
      <c r="T2" s="51"/>
      <c r="U2" s="51"/>
      <c r="V2" s="51"/>
      <c r="W2" s="51"/>
      <c r="X2" s="51"/>
      <c r="Y2" s="51"/>
    </row>
    <row r="3">
      <c r="A3" s="2" t="s">
        <v>1</v>
      </c>
      <c r="B3" s="53" t="s">
        <v>85</v>
      </c>
      <c r="C3" s="53" t="s">
        <v>84</v>
      </c>
      <c r="D3" s="54" t="s">
        <v>86</v>
      </c>
      <c r="E3" s="53" t="s">
        <v>6</v>
      </c>
      <c r="F3" s="53" t="s">
        <v>7</v>
      </c>
      <c r="G3" s="54" t="s">
        <v>87</v>
      </c>
      <c r="H3" s="53" t="s">
        <v>88</v>
      </c>
      <c r="I3" s="54" t="s">
        <v>89</v>
      </c>
      <c r="J3" s="54" t="s">
        <v>90</v>
      </c>
      <c r="K3" s="53" t="s">
        <v>91</v>
      </c>
      <c r="L3" s="54" t="s">
        <v>92</v>
      </c>
      <c r="M3" s="54" t="s">
        <v>93</v>
      </c>
      <c r="N3" s="53" t="s">
        <v>94</v>
      </c>
      <c r="O3" s="53" t="s">
        <v>95</v>
      </c>
      <c r="P3" s="53" t="s">
        <v>96</v>
      </c>
      <c r="Q3" s="53" t="s">
        <v>97</v>
      </c>
    </row>
    <row r="4">
      <c r="A4" s="6" t="s">
        <v>10</v>
      </c>
      <c r="B4" s="33">
        <v>10.0</v>
      </c>
      <c r="C4" s="21">
        <v>21.0</v>
      </c>
      <c r="D4" s="33">
        <v>21.0</v>
      </c>
      <c r="E4" s="21">
        <v>10.0</v>
      </c>
      <c r="F4" s="21">
        <v>37.0</v>
      </c>
      <c r="G4" s="33">
        <v>25.0</v>
      </c>
      <c r="H4" s="21">
        <v>43.0</v>
      </c>
      <c r="I4" s="21">
        <v>25.0</v>
      </c>
      <c r="J4" s="21">
        <v>17.0</v>
      </c>
      <c r="K4" s="33">
        <v>40.0</v>
      </c>
      <c r="L4" s="33">
        <v>46.0</v>
      </c>
      <c r="M4" s="33">
        <v>40.0</v>
      </c>
      <c r="N4" s="33">
        <v>40.0</v>
      </c>
      <c r="O4" s="33">
        <v>37.0</v>
      </c>
      <c r="P4" s="33">
        <v>25.0</v>
      </c>
      <c r="Q4" s="33">
        <v>43.0</v>
      </c>
    </row>
    <row r="5">
      <c r="A5" s="6" t="s">
        <v>11</v>
      </c>
      <c r="B5" s="33">
        <v>17.0</v>
      </c>
      <c r="C5" s="21">
        <v>20.0</v>
      </c>
      <c r="D5" s="33">
        <v>78.0</v>
      </c>
      <c r="E5" s="21">
        <v>29.0</v>
      </c>
      <c r="F5" s="21">
        <v>59.0</v>
      </c>
      <c r="G5" s="33">
        <v>89.0</v>
      </c>
      <c r="H5" s="21">
        <v>96.0</v>
      </c>
      <c r="I5" s="21">
        <v>85.0</v>
      </c>
      <c r="J5" s="21">
        <v>52.0</v>
      </c>
      <c r="K5" s="33">
        <v>69.0</v>
      </c>
      <c r="L5" s="33">
        <v>102.0</v>
      </c>
      <c r="M5" s="33">
        <v>73.0</v>
      </c>
      <c r="N5" s="33">
        <v>74.0</v>
      </c>
      <c r="O5" s="33">
        <v>60.0</v>
      </c>
      <c r="P5" s="33">
        <v>89.0</v>
      </c>
      <c r="Q5" s="33">
        <v>96.0</v>
      </c>
    </row>
    <row r="6">
      <c r="A6" s="6" t="s">
        <v>12</v>
      </c>
      <c r="B6" s="33">
        <v>10.0</v>
      </c>
      <c r="C6" s="21">
        <v>8.0</v>
      </c>
      <c r="D6" s="33">
        <v>18.0</v>
      </c>
      <c r="E6" s="21">
        <v>6.0</v>
      </c>
      <c r="F6" s="21">
        <v>35.0</v>
      </c>
      <c r="G6" s="33">
        <v>19.0</v>
      </c>
      <c r="H6" s="21">
        <v>41.0</v>
      </c>
      <c r="I6" s="21">
        <v>19.0</v>
      </c>
      <c r="J6" s="21">
        <v>13.0</v>
      </c>
      <c r="K6" s="33">
        <v>37.0</v>
      </c>
      <c r="L6" s="33">
        <v>42.0</v>
      </c>
      <c r="M6" s="33">
        <v>36.0</v>
      </c>
      <c r="N6" s="33">
        <v>37.0</v>
      </c>
      <c r="O6" s="33">
        <v>35.0</v>
      </c>
      <c r="P6" s="33">
        <v>19.0</v>
      </c>
      <c r="Q6" s="33">
        <v>41.0</v>
      </c>
    </row>
    <row r="7">
      <c r="A7" s="6" t="s">
        <v>14</v>
      </c>
      <c r="B7" s="33">
        <v>8.0</v>
      </c>
      <c r="C7" s="21">
        <v>12.0</v>
      </c>
      <c r="D7" s="33">
        <v>9.0</v>
      </c>
      <c r="E7" s="21">
        <v>11.0</v>
      </c>
      <c r="F7" s="21">
        <v>35.0</v>
      </c>
      <c r="G7" s="33">
        <v>12.0</v>
      </c>
      <c r="H7" s="21">
        <v>34.0</v>
      </c>
      <c r="I7" s="21">
        <v>15.0</v>
      </c>
      <c r="J7" s="21">
        <v>13.0</v>
      </c>
      <c r="K7" s="33">
        <v>41.0</v>
      </c>
      <c r="L7" s="33">
        <v>35.0</v>
      </c>
      <c r="M7" s="33">
        <v>32.0</v>
      </c>
      <c r="N7" s="33">
        <v>42.0</v>
      </c>
      <c r="O7" s="33">
        <v>32.0</v>
      </c>
      <c r="P7" s="33">
        <v>12.0</v>
      </c>
      <c r="Q7" s="33">
        <v>34.0</v>
      </c>
    </row>
    <row r="8">
      <c r="A8" s="6" t="s">
        <v>15</v>
      </c>
      <c r="B8" s="33">
        <v>8.0</v>
      </c>
      <c r="C8" s="21">
        <v>15.0</v>
      </c>
      <c r="D8" s="33">
        <v>10.0</v>
      </c>
      <c r="E8" s="21">
        <v>3.0</v>
      </c>
      <c r="F8" s="21">
        <v>24.0</v>
      </c>
      <c r="G8" s="33">
        <v>12.0</v>
      </c>
      <c r="H8" s="21">
        <v>28.0</v>
      </c>
      <c r="I8" s="21">
        <v>12.0</v>
      </c>
      <c r="J8" s="21">
        <v>8.0</v>
      </c>
      <c r="K8" s="33">
        <v>25.0</v>
      </c>
      <c r="L8" s="33">
        <v>29.0</v>
      </c>
      <c r="M8" s="33">
        <v>25.0</v>
      </c>
      <c r="N8" s="33">
        <v>25.0</v>
      </c>
      <c r="O8" s="33">
        <v>22.0</v>
      </c>
      <c r="P8" s="33">
        <v>12.0</v>
      </c>
      <c r="Q8" s="33">
        <v>28.0</v>
      </c>
    </row>
    <row r="9">
      <c r="A9" s="6" t="s">
        <v>16</v>
      </c>
      <c r="B9" s="33">
        <v>9.0</v>
      </c>
      <c r="C9" s="21">
        <v>12.0</v>
      </c>
      <c r="D9" s="33">
        <v>15.0</v>
      </c>
      <c r="E9" s="21">
        <v>4.0</v>
      </c>
      <c r="F9" s="21">
        <v>39.0</v>
      </c>
      <c r="G9" s="33">
        <v>15.0</v>
      </c>
      <c r="H9" s="21">
        <v>43.0</v>
      </c>
      <c r="I9" s="21">
        <v>13.0</v>
      </c>
      <c r="J9" s="21">
        <v>8.0</v>
      </c>
      <c r="K9" s="33">
        <v>33.0</v>
      </c>
      <c r="L9" s="33">
        <v>50.0</v>
      </c>
      <c r="M9" s="33">
        <v>41.0</v>
      </c>
      <c r="N9" s="33">
        <v>40.0</v>
      </c>
      <c r="O9" s="33">
        <v>39.0</v>
      </c>
      <c r="P9" s="33">
        <v>15.0</v>
      </c>
      <c r="Q9" s="33">
        <v>43.0</v>
      </c>
    </row>
    <row r="10">
      <c r="A10" s="23" t="s">
        <v>25</v>
      </c>
      <c r="B10" s="1">
        <v>20.0</v>
      </c>
      <c r="C10" s="19">
        <v>11.0</v>
      </c>
      <c r="D10" s="1">
        <v>26.0</v>
      </c>
      <c r="E10" s="19">
        <v>10.0</v>
      </c>
      <c r="F10" s="19">
        <v>57.0</v>
      </c>
      <c r="G10" s="1">
        <v>29.0</v>
      </c>
      <c r="H10" s="19">
        <v>68.0</v>
      </c>
      <c r="I10" s="19">
        <v>25.0</v>
      </c>
      <c r="J10" s="19">
        <v>15.0</v>
      </c>
      <c r="K10" s="1">
        <v>58.0</v>
      </c>
      <c r="L10" s="1">
        <v>66.0</v>
      </c>
      <c r="M10" s="1">
        <v>57.0</v>
      </c>
      <c r="N10" s="55">
        <v>58.0</v>
      </c>
      <c r="O10" s="55">
        <v>57.0</v>
      </c>
      <c r="P10" s="55">
        <v>29.0</v>
      </c>
      <c r="Q10" s="55">
        <v>68.0</v>
      </c>
    </row>
    <row r="11">
      <c r="A11" s="23" t="s">
        <v>31</v>
      </c>
      <c r="B11" s="1">
        <v>9.0</v>
      </c>
      <c r="C11" s="19">
        <v>5.0</v>
      </c>
      <c r="D11" s="1">
        <v>17.0</v>
      </c>
      <c r="E11" s="19">
        <v>3.0</v>
      </c>
      <c r="F11" s="19">
        <v>63.0</v>
      </c>
      <c r="G11" s="1">
        <v>19.0</v>
      </c>
      <c r="H11" s="19">
        <v>70.0</v>
      </c>
      <c r="I11" s="19">
        <v>18.0</v>
      </c>
      <c r="J11" s="19">
        <v>12.0</v>
      </c>
      <c r="K11" s="1">
        <v>59.0</v>
      </c>
      <c r="L11" s="1">
        <v>68.0</v>
      </c>
      <c r="M11" s="1">
        <v>63.0</v>
      </c>
      <c r="N11" s="55">
        <v>62.0</v>
      </c>
      <c r="O11" s="55">
        <v>62.0</v>
      </c>
      <c r="P11" s="55">
        <v>19.0</v>
      </c>
      <c r="Q11" s="55">
        <v>70.0</v>
      </c>
    </row>
    <row r="12">
      <c r="A12" s="23" t="s">
        <v>37</v>
      </c>
      <c r="B12" s="1">
        <v>24.0</v>
      </c>
      <c r="C12" s="19">
        <v>9.0</v>
      </c>
      <c r="D12" s="1">
        <v>29.0</v>
      </c>
      <c r="E12" s="19">
        <v>12.0</v>
      </c>
      <c r="F12" s="19">
        <v>99.0</v>
      </c>
      <c r="G12" s="1">
        <v>34.0</v>
      </c>
      <c r="H12" s="19">
        <v>102.0</v>
      </c>
      <c r="I12" s="19">
        <v>27.0</v>
      </c>
      <c r="J12" s="19">
        <v>13.0</v>
      </c>
      <c r="K12" s="1">
        <v>94.0</v>
      </c>
      <c r="L12" s="1">
        <v>102.0</v>
      </c>
      <c r="M12" s="1">
        <v>96.0</v>
      </c>
      <c r="N12" s="55">
        <v>100.0</v>
      </c>
      <c r="O12" s="55">
        <v>96.0</v>
      </c>
      <c r="P12" s="55">
        <v>34.0</v>
      </c>
      <c r="Q12" s="55">
        <v>102.0</v>
      </c>
    </row>
    <row r="13">
      <c r="A13" s="23" t="s">
        <v>39</v>
      </c>
      <c r="B13" s="1">
        <v>46.0</v>
      </c>
      <c r="C13" s="19">
        <v>35.0</v>
      </c>
      <c r="D13" s="1">
        <v>190.0</v>
      </c>
      <c r="E13" s="19">
        <v>49.0</v>
      </c>
      <c r="F13" s="19">
        <v>51.0</v>
      </c>
      <c r="G13" s="1">
        <v>177.0</v>
      </c>
      <c r="H13" s="19">
        <v>177.0</v>
      </c>
      <c r="I13" s="19">
        <v>168.0</v>
      </c>
      <c r="J13" s="19">
        <v>98.0</v>
      </c>
      <c r="K13" s="1">
        <v>85.0</v>
      </c>
      <c r="L13" s="1">
        <v>175.0</v>
      </c>
      <c r="M13" s="1">
        <v>111.0</v>
      </c>
      <c r="N13" s="55">
        <v>87.0</v>
      </c>
      <c r="O13" s="55">
        <v>37.0</v>
      </c>
      <c r="P13" s="55">
        <v>177.0</v>
      </c>
      <c r="Q13" s="55">
        <v>177.0</v>
      </c>
    </row>
    <row r="14">
      <c r="A14" s="23" t="s">
        <v>43</v>
      </c>
      <c r="B14" s="1">
        <v>32.0</v>
      </c>
      <c r="C14" s="19">
        <v>31.0</v>
      </c>
      <c r="D14" s="1">
        <v>98.0</v>
      </c>
      <c r="E14" s="19">
        <v>49.0</v>
      </c>
      <c r="F14" s="19">
        <v>91.0</v>
      </c>
      <c r="G14" s="1">
        <v>113.0</v>
      </c>
      <c r="H14" s="19">
        <v>124.0</v>
      </c>
      <c r="I14" s="19">
        <v>114.0</v>
      </c>
      <c r="J14" s="19">
        <v>66.0</v>
      </c>
      <c r="K14" s="1">
        <v>112.0</v>
      </c>
      <c r="L14" s="1">
        <v>124.0</v>
      </c>
      <c r="M14" s="1">
        <v>95.0</v>
      </c>
      <c r="N14" s="55">
        <v>113.0</v>
      </c>
      <c r="O14" s="55">
        <v>43.0</v>
      </c>
      <c r="P14" s="55">
        <v>112.0</v>
      </c>
      <c r="Q14" s="55">
        <v>124.0</v>
      </c>
    </row>
    <row r="15">
      <c r="A15" s="23" t="s">
        <v>45</v>
      </c>
      <c r="B15" s="1">
        <v>19.0</v>
      </c>
      <c r="C15" s="19">
        <v>20.0</v>
      </c>
      <c r="D15" s="1">
        <v>42.0</v>
      </c>
      <c r="E15" s="19">
        <v>8.0</v>
      </c>
      <c r="F15" s="19">
        <v>38.0</v>
      </c>
      <c r="G15" s="1">
        <v>43.0</v>
      </c>
      <c r="H15" s="19">
        <v>57.0</v>
      </c>
      <c r="I15" s="19">
        <v>38.0</v>
      </c>
      <c r="J15" s="19">
        <v>20.0</v>
      </c>
      <c r="K15" s="1">
        <v>41.0</v>
      </c>
      <c r="L15" s="1">
        <v>59.0</v>
      </c>
      <c r="M15" s="1">
        <v>43.0</v>
      </c>
      <c r="N15" s="55">
        <v>42.0</v>
      </c>
      <c r="O15" s="55">
        <v>37.0</v>
      </c>
      <c r="P15" s="55">
        <v>43.0</v>
      </c>
      <c r="Q15" s="55">
        <v>57.0</v>
      </c>
    </row>
    <row r="16">
      <c r="A16" s="23" t="s">
        <v>47</v>
      </c>
      <c r="B16" s="1">
        <v>21.0</v>
      </c>
      <c r="C16" s="19">
        <v>13.0</v>
      </c>
      <c r="D16" s="1">
        <v>41.0</v>
      </c>
      <c r="E16" s="19">
        <v>12.0</v>
      </c>
      <c r="F16" s="19">
        <v>43.0</v>
      </c>
      <c r="G16" s="1">
        <v>45.0</v>
      </c>
      <c r="H16" s="19">
        <v>49.0</v>
      </c>
      <c r="I16" s="19">
        <v>42.0</v>
      </c>
      <c r="J16" s="19">
        <v>23.0</v>
      </c>
      <c r="K16" s="1">
        <v>42.0</v>
      </c>
      <c r="L16" s="1">
        <v>59.0</v>
      </c>
      <c r="M16" s="1">
        <v>47.0</v>
      </c>
      <c r="N16" s="55">
        <v>47.0</v>
      </c>
      <c r="O16" s="55">
        <v>41.0</v>
      </c>
      <c r="P16" s="55">
        <v>45.0</v>
      </c>
      <c r="Q16" s="55">
        <v>49.0</v>
      </c>
    </row>
    <row r="17">
      <c r="A17" s="23" t="s">
        <v>59</v>
      </c>
      <c r="B17" s="1">
        <v>42.0</v>
      </c>
      <c r="C17" s="19">
        <v>19.0</v>
      </c>
      <c r="D17" s="1">
        <v>84.0</v>
      </c>
      <c r="E17" s="19">
        <v>44.0</v>
      </c>
      <c r="F17" s="19">
        <v>149.0</v>
      </c>
      <c r="G17" s="1">
        <v>105.0</v>
      </c>
      <c r="H17" s="19">
        <v>177.0</v>
      </c>
      <c r="I17" s="19">
        <v>103.0</v>
      </c>
      <c r="J17" s="19">
        <v>53.0</v>
      </c>
      <c r="K17" s="1">
        <v>164.0</v>
      </c>
      <c r="L17" s="1">
        <v>186.0</v>
      </c>
      <c r="M17" s="1">
        <v>160.0</v>
      </c>
      <c r="N17" s="55">
        <v>171.0</v>
      </c>
      <c r="O17" s="55">
        <v>151.0</v>
      </c>
      <c r="P17" s="55">
        <v>105.0</v>
      </c>
      <c r="Q17" s="55">
        <v>177.0</v>
      </c>
    </row>
    <row r="18">
      <c r="A18" s="6" t="s">
        <v>62</v>
      </c>
      <c r="B18" s="33">
        <v>31.0</v>
      </c>
      <c r="C18" s="21">
        <v>27.0</v>
      </c>
      <c r="D18" s="33">
        <v>39.0</v>
      </c>
      <c r="E18" s="21">
        <v>36.0</v>
      </c>
      <c r="F18" s="21">
        <v>134.0</v>
      </c>
      <c r="G18" s="33">
        <v>61.0</v>
      </c>
      <c r="H18" s="21">
        <v>142.0</v>
      </c>
      <c r="I18" s="21">
        <v>62.0</v>
      </c>
      <c r="J18" s="21">
        <v>43.0</v>
      </c>
      <c r="K18" s="33">
        <v>140.0</v>
      </c>
      <c r="L18" s="33">
        <v>145.0</v>
      </c>
      <c r="M18" s="33">
        <v>129.0</v>
      </c>
      <c r="N18" s="33">
        <v>148.0</v>
      </c>
      <c r="O18" s="33">
        <v>134.0</v>
      </c>
      <c r="P18" s="1">
        <v>61.0</v>
      </c>
      <c r="Q18" s="1">
        <v>142.0</v>
      </c>
    </row>
    <row r="19">
      <c r="A19" s="18" t="s">
        <v>66</v>
      </c>
      <c r="B19" s="33">
        <v>7.0</v>
      </c>
      <c r="C19" s="21">
        <v>12.0</v>
      </c>
      <c r="D19" s="33">
        <v>33.0</v>
      </c>
      <c r="E19" s="21">
        <v>12.0</v>
      </c>
      <c r="F19" s="21">
        <v>28.0</v>
      </c>
      <c r="G19" s="33">
        <v>39.0</v>
      </c>
      <c r="H19" s="21">
        <v>51.0</v>
      </c>
      <c r="I19" s="21">
        <v>32.0</v>
      </c>
      <c r="J19" s="21">
        <v>19.0</v>
      </c>
      <c r="K19" s="33">
        <v>31.0</v>
      </c>
      <c r="L19" s="33">
        <v>51.0</v>
      </c>
      <c r="M19" s="33">
        <v>39.0</v>
      </c>
      <c r="N19" s="33">
        <v>31.0</v>
      </c>
      <c r="O19" s="33">
        <v>28.0</v>
      </c>
      <c r="P19" s="1">
        <v>39.0</v>
      </c>
      <c r="Q19" s="1">
        <v>51.0</v>
      </c>
    </row>
    <row r="20">
      <c r="A20" s="18" t="s">
        <v>68</v>
      </c>
      <c r="B20" s="33">
        <v>5.0</v>
      </c>
      <c r="C20" s="21">
        <v>7.0</v>
      </c>
      <c r="D20" s="33">
        <v>34.0</v>
      </c>
      <c r="E20" s="21">
        <v>31.0</v>
      </c>
      <c r="F20" s="21">
        <v>20.0</v>
      </c>
      <c r="G20" s="33">
        <v>34.0</v>
      </c>
      <c r="H20" s="21">
        <v>39.0</v>
      </c>
      <c r="I20" s="21">
        <v>29.0</v>
      </c>
      <c r="J20" s="21">
        <v>23.0</v>
      </c>
      <c r="K20" s="33">
        <v>22.0</v>
      </c>
      <c r="L20" s="33">
        <v>38.0</v>
      </c>
      <c r="M20" s="33">
        <v>32.0</v>
      </c>
      <c r="N20" s="33">
        <v>22.0</v>
      </c>
      <c r="O20" s="33">
        <v>22.0</v>
      </c>
      <c r="P20" s="1">
        <v>34.0</v>
      </c>
      <c r="Q20" s="1">
        <v>39.0</v>
      </c>
    </row>
    <row r="21">
      <c r="A21" s="18" t="s">
        <v>70</v>
      </c>
      <c r="B21" s="33">
        <v>9.0</v>
      </c>
      <c r="C21" s="21">
        <v>11.0</v>
      </c>
      <c r="D21" s="33">
        <v>43.0</v>
      </c>
      <c r="E21" s="21">
        <v>9.0</v>
      </c>
      <c r="F21" s="21">
        <v>43.0</v>
      </c>
      <c r="G21" s="33">
        <v>48.0</v>
      </c>
      <c r="H21" s="21">
        <v>58.0</v>
      </c>
      <c r="I21" s="21">
        <v>46.0</v>
      </c>
      <c r="J21" s="21">
        <v>37.0</v>
      </c>
      <c r="K21" s="33">
        <v>46.0</v>
      </c>
      <c r="L21" s="33">
        <v>59.0</v>
      </c>
      <c r="M21" s="33">
        <v>53.0</v>
      </c>
      <c r="N21" s="33">
        <v>46.0</v>
      </c>
      <c r="O21" s="33">
        <v>43.0</v>
      </c>
      <c r="P21" s="1">
        <v>48.0</v>
      </c>
      <c r="Q21" s="1">
        <v>58.0</v>
      </c>
    </row>
    <row r="22">
      <c r="A22" s="18" t="s">
        <v>72</v>
      </c>
      <c r="B22" s="33">
        <v>5.0</v>
      </c>
      <c r="C22" s="21">
        <v>5.0</v>
      </c>
      <c r="D22" s="33">
        <v>22.0</v>
      </c>
      <c r="E22" s="21">
        <v>6.0</v>
      </c>
      <c r="F22" s="21">
        <v>16.0</v>
      </c>
      <c r="G22" s="33">
        <v>24.0</v>
      </c>
      <c r="H22" s="21">
        <v>25.0</v>
      </c>
      <c r="I22" s="21">
        <v>24.0</v>
      </c>
      <c r="J22" s="21">
        <v>10.0</v>
      </c>
      <c r="K22" s="33">
        <v>17.0</v>
      </c>
      <c r="L22" s="33">
        <v>26.0</v>
      </c>
      <c r="M22" s="33">
        <v>20.0</v>
      </c>
      <c r="N22" s="33">
        <v>18.0</v>
      </c>
      <c r="O22" s="33">
        <v>28.0</v>
      </c>
      <c r="P22" s="1">
        <v>24.0</v>
      </c>
      <c r="Q22" s="1">
        <v>25.0</v>
      </c>
    </row>
    <row r="23">
      <c r="A23" s="18" t="s">
        <v>73</v>
      </c>
      <c r="B23" s="33">
        <v>4.0</v>
      </c>
      <c r="C23" s="21">
        <v>4.0</v>
      </c>
      <c r="D23" s="33">
        <v>18.0</v>
      </c>
      <c r="E23" s="21">
        <v>10.0</v>
      </c>
      <c r="F23" s="21">
        <v>18.0</v>
      </c>
      <c r="G23" s="33">
        <v>25.0</v>
      </c>
      <c r="H23" s="21">
        <v>29.0</v>
      </c>
      <c r="I23" s="21">
        <v>25.0</v>
      </c>
      <c r="J23" s="21">
        <v>14.0</v>
      </c>
      <c r="K23" s="33">
        <v>18.0</v>
      </c>
      <c r="L23" s="33">
        <v>29.0</v>
      </c>
      <c r="M23" s="33">
        <v>28.0</v>
      </c>
      <c r="N23" s="33">
        <v>18.0</v>
      </c>
      <c r="O23" s="33">
        <v>17.0</v>
      </c>
      <c r="P23" s="1">
        <v>25.0</v>
      </c>
      <c r="Q23" s="1">
        <v>29.0</v>
      </c>
    </row>
    <row r="24">
      <c r="A24" s="18" t="s">
        <v>74</v>
      </c>
      <c r="B24" s="33">
        <v>7.0</v>
      </c>
      <c r="C24" s="21">
        <v>7.0</v>
      </c>
      <c r="D24" s="33">
        <v>32.0</v>
      </c>
      <c r="E24" s="21">
        <v>10.0</v>
      </c>
      <c r="F24" s="21">
        <v>20.0</v>
      </c>
      <c r="G24" s="33">
        <v>35.0</v>
      </c>
      <c r="H24" s="21">
        <v>35.0</v>
      </c>
      <c r="I24" s="21">
        <v>32.0</v>
      </c>
      <c r="J24" s="21">
        <v>19.0</v>
      </c>
      <c r="K24" s="33">
        <v>22.0</v>
      </c>
      <c r="L24" s="33">
        <v>29.0</v>
      </c>
      <c r="M24" s="33">
        <v>24.0</v>
      </c>
      <c r="N24" s="33">
        <v>25.0</v>
      </c>
      <c r="O24" s="33">
        <v>22.0</v>
      </c>
      <c r="P24" s="1">
        <v>35.0</v>
      </c>
      <c r="Q24" s="1">
        <v>35.0</v>
      </c>
    </row>
    <row r="25">
      <c r="A25" s="34" t="s">
        <v>75</v>
      </c>
      <c r="B25" s="36">
        <f t="shared" ref="B25:Q25" si="1">AVERAGE(B4:B24)</f>
        <v>16.33333333</v>
      </c>
      <c r="C25" s="36">
        <f t="shared" si="1"/>
        <v>14.47619048</v>
      </c>
      <c r="D25" s="36">
        <f t="shared" si="1"/>
        <v>42.80952381</v>
      </c>
      <c r="E25" s="36">
        <f t="shared" si="1"/>
        <v>17.33333333</v>
      </c>
      <c r="F25" s="36">
        <f t="shared" si="1"/>
        <v>52.33333333</v>
      </c>
      <c r="G25" s="36">
        <f t="shared" si="1"/>
        <v>47.76190476</v>
      </c>
      <c r="H25" s="36">
        <f t="shared" si="1"/>
        <v>70.85714286</v>
      </c>
      <c r="I25" s="36">
        <f t="shared" si="1"/>
        <v>45.42857143</v>
      </c>
      <c r="J25" s="36">
        <f t="shared" si="1"/>
        <v>27.42857143</v>
      </c>
      <c r="K25" s="36">
        <f t="shared" si="1"/>
        <v>56.95238095</v>
      </c>
      <c r="L25" s="36">
        <f t="shared" si="1"/>
        <v>72.38095238</v>
      </c>
      <c r="M25" s="36">
        <f t="shared" si="1"/>
        <v>59.23809524</v>
      </c>
      <c r="N25" s="36">
        <f t="shared" si="1"/>
        <v>59.33333333</v>
      </c>
      <c r="O25" s="36">
        <f t="shared" si="1"/>
        <v>49.66666667</v>
      </c>
      <c r="P25" s="36">
        <f t="shared" si="1"/>
        <v>47.71428571</v>
      </c>
      <c r="Q25" s="36">
        <f t="shared" si="1"/>
        <v>70.85714286</v>
      </c>
      <c r="R25" s="7"/>
    </row>
    <row r="26">
      <c r="A26" s="39" t="s">
        <v>77</v>
      </c>
      <c r="B26" s="36">
        <f t="shared" ref="B26:Q26" si="2">AVERAGE(B4:B9,B18:B24)</f>
        <v>10</v>
      </c>
      <c r="C26" s="36">
        <f t="shared" si="2"/>
        <v>12.38461538</v>
      </c>
      <c r="D26" s="36">
        <f t="shared" si="2"/>
        <v>28.61538462</v>
      </c>
      <c r="E26" s="36">
        <f t="shared" si="2"/>
        <v>13.61538462</v>
      </c>
      <c r="F26" s="36">
        <f t="shared" si="2"/>
        <v>39.07692308</v>
      </c>
      <c r="G26" s="36">
        <f t="shared" si="2"/>
        <v>33.69230769</v>
      </c>
      <c r="H26" s="36">
        <f t="shared" si="2"/>
        <v>51.07692308</v>
      </c>
      <c r="I26" s="36">
        <f t="shared" si="2"/>
        <v>32.23076923</v>
      </c>
      <c r="J26" s="36">
        <f t="shared" si="2"/>
        <v>21.23076923</v>
      </c>
      <c r="K26" s="36">
        <f t="shared" si="2"/>
        <v>41.61538462</v>
      </c>
      <c r="L26" s="36">
        <f t="shared" si="2"/>
        <v>52.38461538</v>
      </c>
      <c r="M26" s="36">
        <f t="shared" si="2"/>
        <v>44</v>
      </c>
      <c r="N26" s="36">
        <f t="shared" si="2"/>
        <v>43.53846154</v>
      </c>
      <c r="O26" s="36">
        <f t="shared" si="2"/>
        <v>39.92307692</v>
      </c>
      <c r="P26" s="36">
        <f t="shared" si="2"/>
        <v>33.69230769</v>
      </c>
      <c r="Q26" s="36">
        <f t="shared" si="2"/>
        <v>51.07692308</v>
      </c>
      <c r="R26" s="7"/>
      <c r="S26" s="50"/>
      <c r="T26" s="50"/>
      <c r="U26" s="50"/>
      <c r="V26" s="50"/>
      <c r="W26" s="50"/>
      <c r="X26" s="50"/>
      <c r="Y26" s="50"/>
    </row>
    <row r="27">
      <c r="A27" s="39" t="s">
        <v>78</v>
      </c>
      <c r="B27" s="36">
        <f t="shared" ref="B27:Q27" si="3">AVERAGE(B10:B17)</f>
        <v>26.625</v>
      </c>
      <c r="C27" s="36">
        <f t="shared" si="3"/>
        <v>17.875</v>
      </c>
      <c r="D27" s="36">
        <f t="shared" si="3"/>
        <v>65.875</v>
      </c>
      <c r="E27" s="36">
        <f t="shared" si="3"/>
        <v>23.375</v>
      </c>
      <c r="F27" s="36">
        <f t="shared" si="3"/>
        <v>73.875</v>
      </c>
      <c r="G27" s="36">
        <f t="shared" si="3"/>
        <v>70.625</v>
      </c>
      <c r="H27" s="36">
        <f t="shared" si="3"/>
        <v>103</v>
      </c>
      <c r="I27" s="36">
        <f t="shared" si="3"/>
        <v>66.875</v>
      </c>
      <c r="J27" s="36">
        <f t="shared" si="3"/>
        <v>37.5</v>
      </c>
      <c r="K27" s="36">
        <f t="shared" si="3"/>
        <v>81.875</v>
      </c>
      <c r="L27" s="36">
        <f t="shared" si="3"/>
        <v>104.875</v>
      </c>
      <c r="M27" s="36">
        <f t="shared" si="3"/>
        <v>84</v>
      </c>
      <c r="N27" s="36">
        <f t="shared" si="3"/>
        <v>85</v>
      </c>
      <c r="O27" s="36">
        <f t="shared" si="3"/>
        <v>65.5</v>
      </c>
      <c r="P27" s="36">
        <f t="shared" si="3"/>
        <v>70.5</v>
      </c>
      <c r="Q27" s="36">
        <f t="shared" si="3"/>
        <v>103</v>
      </c>
      <c r="R27" s="7"/>
    </row>
    <row r="28">
      <c r="A28" s="39" t="s">
        <v>79</v>
      </c>
      <c r="B28" s="36">
        <f t="shared" ref="B28:Q28" si="4">AVERAGE(B4,B7:B9,B10,B11,B12,B15:B16)</f>
        <v>14.22222222</v>
      </c>
      <c r="C28" s="36">
        <f t="shared" si="4"/>
        <v>13.11111111</v>
      </c>
      <c r="D28" s="36">
        <f t="shared" si="4"/>
        <v>23.33333333</v>
      </c>
      <c r="E28" s="36">
        <f t="shared" si="4"/>
        <v>8.111111111</v>
      </c>
      <c r="F28" s="36">
        <f t="shared" si="4"/>
        <v>48.33333333</v>
      </c>
      <c r="G28" s="36">
        <f t="shared" si="4"/>
        <v>26</v>
      </c>
      <c r="H28" s="36">
        <f t="shared" si="4"/>
        <v>54.88888889</v>
      </c>
      <c r="I28" s="36">
        <f t="shared" si="4"/>
        <v>23.88888889</v>
      </c>
      <c r="J28" s="36">
        <f t="shared" si="4"/>
        <v>14.33333333</v>
      </c>
      <c r="K28" s="36">
        <f t="shared" si="4"/>
        <v>48.11111111</v>
      </c>
      <c r="L28" s="36">
        <f t="shared" si="4"/>
        <v>57.11111111</v>
      </c>
      <c r="M28" s="36">
        <f t="shared" si="4"/>
        <v>49.33333333</v>
      </c>
      <c r="N28" s="36">
        <f t="shared" si="4"/>
        <v>50.66666667</v>
      </c>
      <c r="O28" s="36">
        <f t="shared" si="4"/>
        <v>47</v>
      </c>
      <c r="P28" s="36">
        <f t="shared" si="4"/>
        <v>26</v>
      </c>
      <c r="Q28" s="36">
        <f t="shared" si="4"/>
        <v>54.88888889</v>
      </c>
      <c r="R28" s="7"/>
    </row>
    <row r="29">
      <c r="A29" s="39" t="s">
        <v>80</v>
      </c>
      <c r="B29" s="36">
        <f t="shared" ref="B29:Q29" si="5">AVERAGE(B5:B6,B13,B14,B17,B18)</f>
        <v>29.66666667</v>
      </c>
      <c r="C29" s="36">
        <f t="shared" si="5"/>
        <v>23.33333333</v>
      </c>
      <c r="D29" s="36">
        <f t="shared" si="5"/>
        <v>84.5</v>
      </c>
      <c r="E29" s="36">
        <f t="shared" si="5"/>
        <v>35.5</v>
      </c>
      <c r="F29" s="36">
        <f t="shared" si="5"/>
        <v>86.5</v>
      </c>
      <c r="G29" s="36">
        <f t="shared" si="5"/>
        <v>94</v>
      </c>
      <c r="H29" s="36">
        <f t="shared" si="5"/>
        <v>126.1666667</v>
      </c>
      <c r="I29" s="36">
        <f t="shared" si="5"/>
        <v>91.83333333</v>
      </c>
      <c r="J29" s="36">
        <f t="shared" si="5"/>
        <v>54.16666667</v>
      </c>
      <c r="K29" s="36">
        <f t="shared" si="5"/>
        <v>101.1666667</v>
      </c>
      <c r="L29" s="36">
        <f t="shared" si="5"/>
        <v>129</v>
      </c>
      <c r="M29" s="36">
        <f t="shared" si="5"/>
        <v>100.6666667</v>
      </c>
      <c r="N29" s="36">
        <f t="shared" si="5"/>
        <v>105</v>
      </c>
      <c r="O29" s="36">
        <f t="shared" si="5"/>
        <v>76.66666667</v>
      </c>
      <c r="P29" s="36">
        <f t="shared" si="5"/>
        <v>93.83333333</v>
      </c>
      <c r="Q29" s="36">
        <f t="shared" si="5"/>
        <v>126.1666667</v>
      </c>
      <c r="R29" s="7"/>
    </row>
    <row r="30">
      <c r="C30" s="49">
        <f t="shared" ref="C30:Q30" si="6">MIN(C4:C24)</f>
        <v>4</v>
      </c>
      <c r="D30" s="49">
        <f t="shared" si="6"/>
        <v>9</v>
      </c>
      <c r="E30" s="49">
        <f t="shared" si="6"/>
        <v>3</v>
      </c>
      <c r="F30" s="49">
        <f t="shared" si="6"/>
        <v>16</v>
      </c>
      <c r="G30" s="49">
        <f t="shared" si="6"/>
        <v>12</v>
      </c>
      <c r="H30" s="49">
        <f t="shared" si="6"/>
        <v>25</v>
      </c>
      <c r="I30" s="49">
        <f t="shared" si="6"/>
        <v>12</v>
      </c>
      <c r="J30" s="49">
        <f t="shared" si="6"/>
        <v>8</v>
      </c>
      <c r="K30" s="49">
        <f t="shared" si="6"/>
        <v>17</v>
      </c>
      <c r="L30" s="49">
        <f t="shared" si="6"/>
        <v>26</v>
      </c>
      <c r="M30" s="49">
        <f t="shared" si="6"/>
        <v>20</v>
      </c>
      <c r="N30" s="49">
        <f t="shared" si="6"/>
        <v>18</v>
      </c>
      <c r="O30" s="49">
        <f t="shared" si="6"/>
        <v>17</v>
      </c>
      <c r="P30" s="49">
        <f t="shared" si="6"/>
        <v>12</v>
      </c>
      <c r="Q30" s="49">
        <f t="shared" si="6"/>
        <v>25</v>
      </c>
    </row>
    <row r="31">
      <c r="A31" s="49"/>
      <c r="B31" s="49"/>
      <c r="C31" s="49">
        <f t="shared" ref="C31:Q31" si="7">MAX(C4:C24)</f>
        <v>35</v>
      </c>
      <c r="D31" s="49">
        <f t="shared" si="7"/>
        <v>190</v>
      </c>
      <c r="E31" s="49">
        <f t="shared" si="7"/>
        <v>49</v>
      </c>
      <c r="F31" s="49">
        <f t="shared" si="7"/>
        <v>149</v>
      </c>
      <c r="G31" s="49">
        <f t="shared" si="7"/>
        <v>177</v>
      </c>
      <c r="H31" s="49">
        <f t="shared" si="7"/>
        <v>177</v>
      </c>
      <c r="I31" s="49">
        <f t="shared" si="7"/>
        <v>168</v>
      </c>
      <c r="J31" s="49">
        <f t="shared" si="7"/>
        <v>98</v>
      </c>
      <c r="K31" s="49">
        <f t="shared" si="7"/>
        <v>164</v>
      </c>
      <c r="L31" s="49">
        <f t="shared" si="7"/>
        <v>186</v>
      </c>
      <c r="M31" s="49">
        <f t="shared" si="7"/>
        <v>160</v>
      </c>
      <c r="N31" s="49">
        <f t="shared" si="7"/>
        <v>171</v>
      </c>
      <c r="O31" s="49">
        <f t="shared" si="7"/>
        <v>151</v>
      </c>
      <c r="P31" s="49">
        <f t="shared" si="7"/>
        <v>177</v>
      </c>
      <c r="Q31" s="49">
        <f t="shared" si="7"/>
        <v>177</v>
      </c>
    </row>
    <row r="32">
      <c r="A32" s="49"/>
      <c r="B32" s="49"/>
      <c r="C32" s="49"/>
    </row>
    <row r="33">
      <c r="A33" s="49"/>
      <c r="B33" s="49"/>
      <c r="C33" s="49"/>
    </row>
    <row r="34">
      <c r="A34" s="49"/>
      <c r="B34" s="49"/>
      <c r="C34" s="49"/>
    </row>
    <row r="35">
      <c r="A35" s="49"/>
      <c r="B35" s="49"/>
      <c r="C35" s="49"/>
    </row>
    <row r="36">
      <c r="A36" s="49"/>
      <c r="B36" s="49"/>
      <c r="C36" s="49"/>
    </row>
    <row r="37">
      <c r="A37" s="49"/>
      <c r="B37" s="49"/>
      <c r="C37" s="49"/>
    </row>
    <row r="38">
      <c r="A38" s="49"/>
      <c r="B38" s="49"/>
      <c r="C38" s="49"/>
    </row>
    <row r="39">
      <c r="A39" s="49"/>
      <c r="B39" s="49"/>
      <c r="C39" s="49"/>
    </row>
    <row r="40">
      <c r="A40" s="49"/>
      <c r="B40" s="49"/>
      <c r="C40" s="49"/>
    </row>
    <row r="41">
      <c r="A41" s="49"/>
      <c r="B41" s="49"/>
      <c r="C41" s="49"/>
    </row>
    <row r="42">
      <c r="A42" s="49"/>
      <c r="B42" s="49"/>
      <c r="C42" s="49"/>
    </row>
    <row r="43">
      <c r="A43" s="49"/>
      <c r="B43" s="49"/>
      <c r="C43" s="49"/>
    </row>
    <row r="44">
      <c r="A44" s="49"/>
      <c r="B44" s="49"/>
      <c r="C44" s="49"/>
    </row>
    <row r="45">
      <c r="A45" s="49"/>
      <c r="B45" s="49"/>
      <c r="C45" s="49"/>
    </row>
    <row r="46">
      <c r="A46" s="49"/>
      <c r="B46" s="49"/>
      <c r="C46" s="49"/>
    </row>
    <row r="47">
      <c r="A47" s="49"/>
      <c r="B47" s="49"/>
      <c r="C47" s="49"/>
    </row>
    <row r="48">
      <c r="A48" s="49"/>
      <c r="B48" s="49"/>
      <c r="C48" s="49"/>
    </row>
    <row r="49">
      <c r="A49" s="49"/>
      <c r="B49" s="49"/>
      <c r="C49" s="49"/>
    </row>
    <row r="50">
      <c r="A50" s="49"/>
      <c r="B50" s="49"/>
      <c r="C50" s="49"/>
    </row>
    <row r="51">
      <c r="A51" s="49"/>
      <c r="B51" s="49"/>
      <c r="C51" s="49"/>
    </row>
    <row r="52">
      <c r="A52" s="49"/>
      <c r="B52" s="49"/>
      <c r="C52" s="49"/>
    </row>
    <row r="53">
      <c r="A53" s="49"/>
      <c r="B53" s="49"/>
      <c r="C53" s="49"/>
    </row>
    <row r="54">
      <c r="A54" s="49"/>
      <c r="B54" s="49"/>
      <c r="C54" s="49"/>
    </row>
    <row r="55">
      <c r="A55" s="49"/>
      <c r="B55" s="49"/>
      <c r="C55" s="49"/>
    </row>
    <row r="56">
      <c r="A56" s="49"/>
      <c r="B56" s="49"/>
      <c r="C56" s="49"/>
    </row>
    <row r="57">
      <c r="A57" s="49"/>
      <c r="B57" s="49"/>
      <c r="C57" s="49"/>
    </row>
    <row r="58">
      <c r="A58" s="49"/>
      <c r="B58" s="49"/>
      <c r="C58" s="49"/>
    </row>
    <row r="59">
      <c r="A59" s="49"/>
      <c r="B59" s="49"/>
      <c r="C59" s="49"/>
    </row>
    <row r="60">
      <c r="A60" s="49"/>
      <c r="B60" s="49"/>
      <c r="C60" s="49"/>
    </row>
    <row r="61">
      <c r="A61" s="49"/>
      <c r="B61" s="49"/>
      <c r="C61" s="49"/>
    </row>
    <row r="62">
      <c r="A62" s="49"/>
      <c r="B62" s="49"/>
      <c r="C62" s="49"/>
    </row>
  </sheetData>
  <mergeCells count="2">
    <mergeCell ref="B2:C2"/>
    <mergeCell ref="D2:P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20.63"/>
    <col customWidth="1" min="4" max="4" width="17.88"/>
    <col customWidth="1" min="5" max="5" width="16.88"/>
    <col customWidth="1" min="6" max="6" width="18.5"/>
    <col customWidth="1" min="7" max="7" width="19.63"/>
    <col customWidth="1" min="8" max="8" width="16.13"/>
    <col customWidth="1" min="9" max="9" width="19.5"/>
    <col customWidth="1" min="10" max="10" width="16.0"/>
    <col customWidth="1" min="15" max="15" width="2.75"/>
  </cols>
  <sheetData>
    <row r="2">
      <c r="B2" s="56" t="s">
        <v>98</v>
      </c>
      <c r="F2" s="56" t="s">
        <v>99</v>
      </c>
    </row>
    <row r="3">
      <c r="A3" s="2" t="s">
        <v>1</v>
      </c>
      <c r="B3" s="53" t="s">
        <v>100</v>
      </c>
      <c r="C3" s="53" t="s">
        <v>3</v>
      </c>
      <c r="D3" s="53" t="s">
        <v>4</v>
      </c>
      <c r="E3" s="53" t="s">
        <v>101</v>
      </c>
      <c r="F3" s="53" t="s">
        <v>100</v>
      </c>
      <c r="G3" s="53" t="s">
        <v>3</v>
      </c>
      <c r="H3" s="53" t="s">
        <v>4</v>
      </c>
      <c r="I3" s="53" t="s">
        <v>101</v>
      </c>
    </row>
    <row r="4">
      <c r="A4" s="6" t="s">
        <v>10</v>
      </c>
      <c r="B4" s="24">
        <v>90.24</v>
      </c>
      <c r="C4" s="19">
        <v>81.4</v>
      </c>
      <c r="D4" s="1">
        <v>100.0</v>
      </c>
      <c r="E4" s="19">
        <f t="shared" ref="E4:E6" si="1">AVERAGE(B4:D4)</f>
        <v>90.54666667</v>
      </c>
      <c r="F4" s="57">
        <v>89.61</v>
      </c>
      <c r="G4" s="58">
        <v>87.39</v>
      </c>
      <c r="H4" s="26">
        <v>100.0</v>
      </c>
      <c r="I4" s="57">
        <f t="shared" ref="I4:I24" si="2">AVERAGE(F4:H4)</f>
        <v>92.33333333</v>
      </c>
    </row>
    <row r="5">
      <c r="A5" s="6" t="s">
        <v>11</v>
      </c>
      <c r="B5" s="24">
        <v>84.32</v>
      </c>
      <c r="C5" s="24">
        <v>63.13</v>
      </c>
      <c r="D5" s="1">
        <v>75.0</v>
      </c>
      <c r="E5" s="19">
        <f t="shared" si="1"/>
        <v>74.15</v>
      </c>
      <c r="F5" s="57">
        <v>83.48</v>
      </c>
      <c r="G5" s="57">
        <v>60.95</v>
      </c>
      <c r="H5" s="26">
        <v>85.0</v>
      </c>
      <c r="I5" s="57">
        <f t="shared" si="2"/>
        <v>76.47666667</v>
      </c>
    </row>
    <row r="6">
      <c r="A6" s="6" t="s">
        <v>12</v>
      </c>
      <c r="B6" s="24">
        <v>82.63</v>
      </c>
      <c r="C6" s="24">
        <v>74.69</v>
      </c>
      <c r="D6" s="1">
        <v>62.5</v>
      </c>
      <c r="E6" s="19">
        <f t="shared" si="1"/>
        <v>73.27333333</v>
      </c>
      <c r="F6" s="57">
        <v>81.08</v>
      </c>
      <c r="G6" s="57">
        <v>66.12</v>
      </c>
      <c r="H6" s="26">
        <v>87.5</v>
      </c>
      <c r="I6" s="57">
        <f t="shared" si="2"/>
        <v>78.23333333</v>
      </c>
    </row>
    <row r="7">
      <c r="A7" s="6" t="s">
        <v>14</v>
      </c>
      <c r="B7" s="19">
        <v>83.79</v>
      </c>
      <c r="C7" s="19">
        <v>66.68</v>
      </c>
      <c r="D7" s="1">
        <v>66.66</v>
      </c>
      <c r="E7" s="19">
        <f t="shared" ref="E7:E8" si="3">AVERAGE(B8:D8)</f>
        <v>64.86333333</v>
      </c>
      <c r="F7" s="58">
        <v>85.07</v>
      </c>
      <c r="G7" s="58">
        <v>74.37</v>
      </c>
      <c r="H7" s="26">
        <v>66.66</v>
      </c>
      <c r="I7" s="57">
        <f t="shared" si="2"/>
        <v>75.36666667</v>
      </c>
    </row>
    <row r="8">
      <c r="A8" s="6" t="s">
        <v>15</v>
      </c>
      <c r="B8" s="24">
        <v>84.68</v>
      </c>
      <c r="C8" s="19">
        <v>63.25</v>
      </c>
      <c r="D8" s="1">
        <v>46.66</v>
      </c>
      <c r="E8" s="19">
        <f t="shared" si="3"/>
        <v>76.43666667</v>
      </c>
      <c r="F8" s="57">
        <v>84.64</v>
      </c>
      <c r="G8" s="58">
        <v>63.43</v>
      </c>
      <c r="H8" s="26">
        <v>86.66</v>
      </c>
      <c r="I8" s="57">
        <f t="shared" si="2"/>
        <v>78.24333333</v>
      </c>
    </row>
    <row r="9">
      <c r="A9" s="6" t="s">
        <v>16</v>
      </c>
      <c r="B9" s="24">
        <v>83.97</v>
      </c>
      <c r="C9" s="19">
        <v>70.34</v>
      </c>
      <c r="D9" s="1">
        <v>75.0</v>
      </c>
      <c r="E9" s="19">
        <f t="shared" ref="E9:E24" si="4">AVERAGE(B9:D9)</f>
        <v>76.43666667</v>
      </c>
      <c r="F9" s="57">
        <v>83.95</v>
      </c>
      <c r="G9" s="58">
        <v>74.04</v>
      </c>
      <c r="H9" s="26">
        <v>91.66</v>
      </c>
      <c r="I9" s="57">
        <f t="shared" si="2"/>
        <v>83.21666667</v>
      </c>
    </row>
    <row r="10">
      <c r="A10" s="23" t="s">
        <v>25</v>
      </c>
      <c r="B10" s="24">
        <v>84.98</v>
      </c>
      <c r="C10" s="19">
        <v>69.27</v>
      </c>
      <c r="D10" s="1">
        <v>89.21</v>
      </c>
      <c r="E10" s="19">
        <f t="shared" si="4"/>
        <v>81.15333333</v>
      </c>
      <c r="F10" s="57">
        <v>84.33</v>
      </c>
      <c r="G10" s="58">
        <v>75.54</v>
      </c>
      <c r="H10" s="26">
        <v>90.9</v>
      </c>
      <c r="I10" s="57">
        <f t="shared" si="2"/>
        <v>83.59</v>
      </c>
    </row>
    <row r="11">
      <c r="A11" s="23" t="s">
        <v>31</v>
      </c>
      <c r="B11" s="19">
        <v>79.65</v>
      </c>
      <c r="C11" s="24">
        <v>60.79</v>
      </c>
      <c r="D11" s="1">
        <v>100.0</v>
      </c>
      <c r="E11" s="19">
        <f t="shared" si="4"/>
        <v>80.14666667</v>
      </c>
      <c r="F11" s="58">
        <v>80.13</v>
      </c>
      <c r="G11" s="57">
        <v>60.47</v>
      </c>
      <c r="H11" s="26">
        <v>100.0</v>
      </c>
      <c r="I11" s="57">
        <f t="shared" si="2"/>
        <v>80.2</v>
      </c>
    </row>
    <row r="12">
      <c r="A12" s="23" t="s">
        <v>37</v>
      </c>
      <c r="B12" s="24">
        <v>84.23</v>
      </c>
      <c r="C12" s="19">
        <v>74.77</v>
      </c>
      <c r="D12" s="1">
        <v>100.0</v>
      </c>
      <c r="E12" s="19">
        <f t="shared" si="4"/>
        <v>86.33333333</v>
      </c>
      <c r="F12" s="57">
        <v>83.28</v>
      </c>
      <c r="G12" s="58">
        <v>75.76</v>
      </c>
      <c r="H12" s="26">
        <v>100.0</v>
      </c>
      <c r="I12" s="57">
        <f t="shared" si="2"/>
        <v>86.34666667</v>
      </c>
    </row>
    <row r="13">
      <c r="A13" s="23" t="s">
        <v>39</v>
      </c>
      <c r="B13" s="24">
        <v>84.04</v>
      </c>
      <c r="C13" s="19">
        <v>66.92</v>
      </c>
      <c r="D13" s="1">
        <v>91.42</v>
      </c>
      <c r="E13" s="19">
        <f t="shared" si="4"/>
        <v>80.79333333</v>
      </c>
      <c r="F13" s="57">
        <v>83.87</v>
      </c>
      <c r="G13" s="58">
        <v>67.51</v>
      </c>
      <c r="H13" s="26">
        <v>94.28</v>
      </c>
      <c r="I13" s="57">
        <f t="shared" si="2"/>
        <v>81.88666667</v>
      </c>
    </row>
    <row r="14">
      <c r="A14" s="23" t="s">
        <v>43</v>
      </c>
      <c r="B14" s="24">
        <v>83.41</v>
      </c>
      <c r="C14" s="19">
        <v>72.0</v>
      </c>
      <c r="D14" s="1">
        <v>90.32</v>
      </c>
      <c r="E14" s="19">
        <f t="shared" si="4"/>
        <v>81.91</v>
      </c>
      <c r="F14" s="57">
        <v>82.85</v>
      </c>
      <c r="G14" s="58">
        <v>72.1</v>
      </c>
      <c r="H14" s="26">
        <v>90.32</v>
      </c>
      <c r="I14" s="57">
        <f t="shared" si="2"/>
        <v>81.75666667</v>
      </c>
    </row>
    <row r="15">
      <c r="A15" s="23" t="s">
        <v>45</v>
      </c>
      <c r="B15" s="24">
        <v>82.4</v>
      </c>
      <c r="C15" s="24">
        <v>63.58</v>
      </c>
      <c r="D15" s="1">
        <v>65.0</v>
      </c>
      <c r="E15" s="19">
        <f t="shared" si="4"/>
        <v>70.32666667</v>
      </c>
      <c r="F15" s="57">
        <v>82.12</v>
      </c>
      <c r="G15" s="57">
        <v>61.35</v>
      </c>
      <c r="H15" s="59">
        <v>75.0</v>
      </c>
      <c r="I15" s="57">
        <f t="shared" si="2"/>
        <v>72.82333333</v>
      </c>
    </row>
    <row r="16">
      <c r="A16" s="23" t="s">
        <v>47</v>
      </c>
      <c r="B16" s="24">
        <v>82.98</v>
      </c>
      <c r="C16" s="24">
        <v>68.17</v>
      </c>
      <c r="D16" s="1">
        <v>100.0</v>
      </c>
      <c r="E16" s="19">
        <f t="shared" si="4"/>
        <v>83.71666667</v>
      </c>
      <c r="F16" s="57">
        <v>81.34</v>
      </c>
      <c r="G16" s="57">
        <v>64.18</v>
      </c>
      <c r="H16" s="26">
        <v>100.0</v>
      </c>
      <c r="I16" s="57">
        <f t="shared" si="2"/>
        <v>81.84</v>
      </c>
    </row>
    <row r="17">
      <c r="A17" s="23" t="s">
        <v>59</v>
      </c>
      <c r="B17" s="24">
        <v>81.59</v>
      </c>
      <c r="C17" s="24">
        <v>63.98</v>
      </c>
      <c r="D17" s="1">
        <v>89.47</v>
      </c>
      <c r="E17" s="19">
        <f t="shared" si="4"/>
        <v>78.34666667</v>
      </c>
      <c r="F17" s="57">
        <v>81.13</v>
      </c>
      <c r="G17" s="57">
        <v>62.73</v>
      </c>
      <c r="H17" s="26">
        <v>94.73</v>
      </c>
      <c r="I17" s="57">
        <f t="shared" si="2"/>
        <v>79.53</v>
      </c>
    </row>
    <row r="18">
      <c r="A18" s="6" t="s">
        <v>62</v>
      </c>
      <c r="B18" s="19">
        <v>84.28</v>
      </c>
      <c r="C18" s="24">
        <v>76.75</v>
      </c>
      <c r="D18" s="1">
        <v>85.18</v>
      </c>
      <c r="E18" s="19">
        <f t="shared" si="4"/>
        <v>82.07</v>
      </c>
      <c r="F18" s="58">
        <v>84.6</v>
      </c>
      <c r="G18" s="57">
        <v>72.8</v>
      </c>
      <c r="H18" s="26">
        <v>88.88</v>
      </c>
      <c r="I18" s="57">
        <f t="shared" si="2"/>
        <v>82.09333333</v>
      </c>
    </row>
    <row r="19">
      <c r="A19" s="18" t="s">
        <v>66</v>
      </c>
      <c r="B19" s="19">
        <v>84.29</v>
      </c>
      <c r="C19" s="19">
        <v>70.54</v>
      </c>
      <c r="D19" s="1">
        <v>74.0</v>
      </c>
      <c r="E19" s="19">
        <f t="shared" si="4"/>
        <v>76.27666667</v>
      </c>
      <c r="F19" s="58">
        <v>84.77</v>
      </c>
      <c r="G19" s="58">
        <v>75.8</v>
      </c>
      <c r="H19" s="26">
        <v>58.33</v>
      </c>
      <c r="I19" s="57">
        <f t="shared" si="2"/>
        <v>72.96666667</v>
      </c>
    </row>
    <row r="20">
      <c r="A20" s="18" t="s">
        <v>68</v>
      </c>
      <c r="B20" s="24">
        <v>84.09</v>
      </c>
      <c r="C20" s="24">
        <v>76.37</v>
      </c>
      <c r="D20" s="1"/>
      <c r="E20" s="19">
        <f t="shared" si="4"/>
        <v>80.23</v>
      </c>
      <c r="F20" s="57">
        <v>82.52</v>
      </c>
      <c r="G20" s="57">
        <v>76.2</v>
      </c>
      <c r="H20" s="26">
        <v>71.42</v>
      </c>
      <c r="I20" s="57">
        <f t="shared" si="2"/>
        <v>76.71333333</v>
      </c>
    </row>
    <row r="21">
      <c r="A21" s="18" t="s">
        <v>70</v>
      </c>
      <c r="B21" s="24">
        <v>84.76</v>
      </c>
      <c r="C21" s="24">
        <v>67.35</v>
      </c>
      <c r="D21" s="1">
        <v>63.63</v>
      </c>
      <c r="E21" s="19">
        <f t="shared" si="4"/>
        <v>71.91333333</v>
      </c>
      <c r="F21" s="57">
        <v>80.81</v>
      </c>
      <c r="G21" s="57">
        <v>64.2</v>
      </c>
      <c r="H21" s="26">
        <v>63.63</v>
      </c>
      <c r="I21" s="57">
        <f t="shared" si="2"/>
        <v>69.54666667</v>
      </c>
    </row>
    <row r="22">
      <c r="A22" s="18" t="s">
        <v>72</v>
      </c>
      <c r="B22" s="19">
        <v>81.55</v>
      </c>
      <c r="C22" s="19">
        <v>56.36</v>
      </c>
      <c r="D22" s="1">
        <v>100.0</v>
      </c>
      <c r="E22" s="19">
        <f t="shared" si="4"/>
        <v>79.30333333</v>
      </c>
      <c r="F22" s="58">
        <v>82.33</v>
      </c>
      <c r="G22" s="58">
        <v>70.48</v>
      </c>
      <c r="H22" s="26">
        <v>60.0</v>
      </c>
      <c r="I22" s="57">
        <f t="shared" si="2"/>
        <v>70.93666667</v>
      </c>
    </row>
    <row r="23">
      <c r="A23" s="18" t="s">
        <v>73</v>
      </c>
      <c r="B23" s="24">
        <v>85.06</v>
      </c>
      <c r="C23" s="19">
        <v>53.41</v>
      </c>
      <c r="D23" s="1">
        <v>74.0</v>
      </c>
      <c r="E23" s="19">
        <f t="shared" si="4"/>
        <v>70.82333333</v>
      </c>
      <c r="F23" s="57">
        <v>83.0</v>
      </c>
      <c r="G23" s="58">
        <v>64.55</v>
      </c>
      <c r="H23" s="26">
        <v>100.0</v>
      </c>
      <c r="I23" s="57">
        <f t="shared" si="2"/>
        <v>82.51666667</v>
      </c>
    </row>
    <row r="24">
      <c r="A24" s="18" t="s">
        <v>74</v>
      </c>
      <c r="B24" s="24">
        <v>82.5</v>
      </c>
      <c r="C24" s="19">
        <v>68.69</v>
      </c>
      <c r="D24" s="1">
        <v>100.0</v>
      </c>
      <c r="E24" s="19">
        <f t="shared" si="4"/>
        <v>83.73</v>
      </c>
      <c r="F24" s="57">
        <v>81.77</v>
      </c>
      <c r="G24" s="58">
        <v>74.7</v>
      </c>
      <c r="H24" s="26">
        <v>100.0</v>
      </c>
      <c r="I24" s="57">
        <f t="shared" si="2"/>
        <v>85.49</v>
      </c>
    </row>
    <row r="25">
      <c r="A25" s="34" t="s">
        <v>75</v>
      </c>
      <c r="B25" s="60">
        <f t="shared" ref="B25:D25" si="5">AVERAGE(B4:B24)</f>
        <v>83.78285714</v>
      </c>
      <c r="C25" s="61">
        <f t="shared" si="5"/>
        <v>68.02095238</v>
      </c>
      <c r="D25" s="61">
        <f t="shared" si="5"/>
        <v>82.4025</v>
      </c>
      <c r="E25" s="61">
        <f>AVERAGE(E4:E11)</f>
        <v>77.12583333</v>
      </c>
      <c r="F25" s="36">
        <f t="shared" ref="F25:H25" si="6">AVERAGE(F4:F24)</f>
        <v>83.1752381</v>
      </c>
      <c r="G25" s="35">
        <f t="shared" si="6"/>
        <v>69.74619048</v>
      </c>
      <c r="H25" s="35">
        <f t="shared" si="6"/>
        <v>85.95095238</v>
      </c>
      <c r="I25" s="36">
        <f>AVERAGE(I4:I11)</f>
        <v>80.9575</v>
      </c>
    </row>
    <row r="26">
      <c r="A26" s="39" t="s">
        <v>77</v>
      </c>
      <c r="B26" s="61">
        <f t="shared" ref="B26:D26" si="7">AVERAGE(B4:B9,B18:B24)</f>
        <v>84.32</v>
      </c>
      <c r="C26" s="61">
        <f t="shared" si="7"/>
        <v>68.38153846</v>
      </c>
      <c r="D26" s="61">
        <f t="shared" si="7"/>
        <v>76.88583333</v>
      </c>
      <c r="E26" s="61">
        <f>AVERAGE(E9:E11)</f>
        <v>79.24555556</v>
      </c>
      <c r="F26" s="36">
        <f t="shared" ref="F26:H26" si="8">AVERAGE(F4:F9,F18:F24)</f>
        <v>83.66384615</v>
      </c>
      <c r="G26" s="35">
        <f t="shared" si="8"/>
        <v>71.15615385</v>
      </c>
      <c r="H26" s="35">
        <f t="shared" si="8"/>
        <v>81.51846154</v>
      </c>
      <c r="I26" s="36">
        <f>AVERAGE(I9:I11)</f>
        <v>82.33555556</v>
      </c>
    </row>
    <row r="27">
      <c r="A27" s="39" t="s">
        <v>78</v>
      </c>
      <c r="B27" s="61">
        <f t="shared" ref="B27:I27" si="9">AVERAGE(B10:B17)</f>
        <v>82.91</v>
      </c>
      <c r="C27" s="61">
        <f t="shared" si="9"/>
        <v>67.435</v>
      </c>
      <c r="D27" s="61">
        <f t="shared" si="9"/>
        <v>90.6775</v>
      </c>
      <c r="E27" s="61">
        <f t="shared" si="9"/>
        <v>80.34083333</v>
      </c>
      <c r="F27" s="36">
        <f t="shared" si="9"/>
        <v>82.38125</v>
      </c>
      <c r="G27" s="36">
        <f t="shared" si="9"/>
        <v>67.455</v>
      </c>
      <c r="H27" s="35">
        <f t="shared" si="9"/>
        <v>93.15375</v>
      </c>
      <c r="I27" s="35">
        <f t="shared" si="9"/>
        <v>80.99666667</v>
      </c>
    </row>
    <row r="28">
      <c r="A28" s="39" t="s">
        <v>79</v>
      </c>
      <c r="B28" s="61">
        <f t="shared" ref="B28:D28" si="10">AVERAGE(B4,B8:B9,B10,B11,B12,B15:B16)</f>
        <v>84.14125</v>
      </c>
      <c r="C28" s="61">
        <f t="shared" si="10"/>
        <v>68.94625</v>
      </c>
      <c r="D28" s="61">
        <f t="shared" si="10"/>
        <v>84.48375</v>
      </c>
      <c r="E28" s="61">
        <f>AVERAGE(E5:E6,E10,E11)</f>
        <v>77.18083333</v>
      </c>
      <c r="F28" s="36">
        <f t="shared" ref="F28:H28" si="11">AVERAGE(F4,F7:F9,F10,F11,F12,F15:F16)</f>
        <v>83.83</v>
      </c>
      <c r="G28" s="35">
        <f t="shared" si="11"/>
        <v>70.72555556</v>
      </c>
      <c r="H28" s="35">
        <f t="shared" si="11"/>
        <v>90.09777778</v>
      </c>
      <c r="I28" s="36">
        <f>AVERAGE(I5:I6,I10,I11)</f>
        <v>79.625</v>
      </c>
    </row>
    <row r="29">
      <c r="A29" s="39" t="s">
        <v>80</v>
      </c>
      <c r="B29" s="61">
        <f t="shared" ref="B29:I29" si="12">AVERAGE(B5:B6,B13,B14,B17,B18)</f>
        <v>83.37833333</v>
      </c>
      <c r="C29" s="60">
        <f t="shared" si="12"/>
        <v>69.57833333</v>
      </c>
      <c r="D29" s="61">
        <f t="shared" si="12"/>
        <v>82.315</v>
      </c>
      <c r="E29" s="61">
        <f t="shared" si="12"/>
        <v>78.42388889</v>
      </c>
      <c r="F29" s="36">
        <f t="shared" si="12"/>
        <v>82.835</v>
      </c>
      <c r="G29" s="36">
        <f t="shared" si="12"/>
        <v>67.035</v>
      </c>
      <c r="H29" s="35">
        <f t="shared" si="12"/>
        <v>90.11833333</v>
      </c>
      <c r="I29" s="35">
        <f t="shared" si="12"/>
        <v>79.99611111</v>
      </c>
    </row>
    <row r="30">
      <c r="B30" s="1" t="s">
        <v>102</v>
      </c>
      <c r="E30" s="1" t="s">
        <v>103</v>
      </c>
      <c r="H30" s="1" t="s">
        <v>104</v>
      </c>
    </row>
    <row r="31">
      <c r="B31" s="53" t="s">
        <v>100</v>
      </c>
      <c r="C31" s="53" t="s">
        <v>3</v>
      </c>
      <c r="D31" s="53" t="s">
        <v>4</v>
      </c>
      <c r="E31" s="53" t="s">
        <v>100</v>
      </c>
      <c r="F31" s="53" t="s">
        <v>3</v>
      </c>
      <c r="G31" s="53" t="s">
        <v>4</v>
      </c>
      <c r="H31" s="53" t="s">
        <v>100</v>
      </c>
      <c r="I31" s="53" t="s">
        <v>3</v>
      </c>
      <c r="J31" s="53" t="s">
        <v>4</v>
      </c>
    </row>
    <row r="32">
      <c r="A32" s="34" t="s">
        <v>75</v>
      </c>
      <c r="B32" s="62">
        <v>83.67571428571429</v>
      </c>
      <c r="C32" s="62">
        <v>65.84619047619047</v>
      </c>
      <c r="D32" s="62">
        <v>67.99571428571429</v>
      </c>
      <c r="E32" s="63">
        <v>78.24620689655173</v>
      </c>
      <c r="F32" s="63">
        <v>66.42000000000002</v>
      </c>
      <c r="G32" s="63">
        <v>54.49793103448275</v>
      </c>
      <c r="H32" s="62">
        <v>82.79793103448277</v>
      </c>
      <c r="I32" s="62">
        <v>66.98655172413793</v>
      </c>
      <c r="J32" s="62">
        <v>68.7551724137931</v>
      </c>
    </row>
    <row r="33">
      <c r="A33" s="39" t="s">
        <v>77</v>
      </c>
      <c r="B33" s="64">
        <v>84.46384615384615</v>
      </c>
      <c r="C33" s="62">
        <v>65.16846153846154</v>
      </c>
      <c r="D33" s="62">
        <v>66.54461538461538</v>
      </c>
      <c r="E33" s="63">
        <v>78.34705882352942</v>
      </c>
      <c r="F33" s="63">
        <v>67.2429411764706</v>
      </c>
      <c r="G33" s="63">
        <v>50.57176470588236</v>
      </c>
      <c r="H33" s="62">
        <v>82.39705882352942</v>
      </c>
      <c r="I33" s="62">
        <v>66.56941176470589</v>
      </c>
      <c r="J33" s="62">
        <v>63.533529411764704</v>
      </c>
    </row>
    <row r="34">
      <c r="A34" s="39" t="s">
        <v>78</v>
      </c>
      <c r="B34" s="62">
        <v>82.39499999999998</v>
      </c>
      <c r="C34" s="62">
        <v>66.94749999999999</v>
      </c>
      <c r="D34" s="62">
        <v>70.35375</v>
      </c>
      <c r="E34" s="63">
        <v>78.10333333333334</v>
      </c>
      <c r="F34" s="63">
        <v>65.25416666666666</v>
      </c>
      <c r="G34" s="63">
        <v>60.06</v>
      </c>
      <c r="H34" s="64">
        <v>83.36583333333333</v>
      </c>
      <c r="I34" s="64">
        <v>67.5775</v>
      </c>
      <c r="J34" s="62">
        <v>76.1525</v>
      </c>
    </row>
    <row r="35">
      <c r="A35" s="39" t="s">
        <v>79</v>
      </c>
      <c r="B35" s="62">
        <v>83.20222222222222</v>
      </c>
      <c r="C35" s="62">
        <v>66.64999999999999</v>
      </c>
      <c r="D35" s="62">
        <v>64.71999999999998</v>
      </c>
      <c r="E35" s="63">
        <v>71.04444444444442</v>
      </c>
      <c r="F35" s="63">
        <v>58.833333333333336</v>
      </c>
      <c r="G35" s="63">
        <v>51.03333333333333</v>
      </c>
      <c r="H35" s="64">
        <v>83.40666666666667</v>
      </c>
      <c r="I35" s="62">
        <v>62.9411111111111</v>
      </c>
      <c r="J35" s="62">
        <v>74.54333333333334</v>
      </c>
    </row>
    <row r="36">
      <c r="A36" s="39" t="s">
        <v>80</v>
      </c>
      <c r="B36" s="64">
        <v>83.76666666666667</v>
      </c>
      <c r="C36" s="64">
        <v>69.27333333333333</v>
      </c>
      <c r="D36" s="62">
        <v>84.80833333333332</v>
      </c>
      <c r="E36" s="63">
        <v>81.635</v>
      </c>
      <c r="F36" s="63">
        <v>70.46666666666667</v>
      </c>
      <c r="G36" s="63">
        <v>57.03333333333333</v>
      </c>
      <c r="H36" s="62">
        <v>82.26666666666667</v>
      </c>
      <c r="I36" s="62">
        <v>66.91333333333333</v>
      </c>
      <c r="J36" s="62">
        <v>57.353333333333346</v>
      </c>
    </row>
    <row r="38">
      <c r="B38" s="1" t="s">
        <v>105</v>
      </c>
      <c r="E38" s="1" t="s">
        <v>106</v>
      </c>
    </row>
    <row r="39">
      <c r="B39" s="53" t="s">
        <v>100</v>
      </c>
      <c r="C39" s="53" t="s">
        <v>3</v>
      </c>
      <c r="D39" s="53" t="s">
        <v>4</v>
      </c>
      <c r="E39" s="53" t="s">
        <v>100</v>
      </c>
      <c r="F39" s="53" t="s">
        <v>3</v>
      </c>
      <c r="G39" s="53" t="s">
        <v>4</v>
      </c>
    </row>
    <row r="40">
      <c r="A40" s="34" t="s">
        <v>75</v>
      </c>
      <c r="B40" s="62">
        <v>84.00933333333334</v>
      </c>
      <c r="C40" s="62">
        <v>69.466</v>
      </c>
      <c r="D40" s="62">
        <v>84.21933333333332</v>
      </c>
      <c r="E40" s="63">
        <v>83.80799999999999</v>
      </c>
      <c r="F40" s="63">
        <v>69.11066666666667</v>
      </c>
      <c r="G40" s="63">
        <v>87.96133333333333</v>
      </c>
    </row>
    <row r="41">
      <c r="A41" s="39" t="s">
        <v>77</v>
      </c>
      <c r="B41" s="64">
        <v>84.21642857142857</v>
      </c>
      <c r="C41" s="62">
        <v>69.3392857142857</v>
      </c>
      <c r="D41" s="62">
        <v>78.25285714285714</v>
      </c>
      <c r="E41" s="63">
        <v>83.9407142857143</v>
      </c>
      <c r="F41" s="63">
        <v>70.685</v>
      </c>
      <c r="G41" s="63">
        <v>77.76571428571427</v>
      </c>
    </row>
    <row r="42">
      <c r="A42" s="39" t="s">
        <v>78</v>
      </c>
      <c r="B42" s="62">
        <v>82.80000000000001</v>
      </c>
      <c r="C42" s="62">
        <v>65.75374999999998</v>
      </c>
      <c r="D42" s="62">
        <v>87.83125000000001</v>
      </c>
      <c r="E42" s="63">
        <v>82.72375</v>
      </c>
      <c r="F42" s="63">
        <v>67.57625</v>
      </c>
      <c r="G42" s="63">
        <v>91.7825</v>
      </c>
    </row>
    <row r="43">
      <c r="A43" s="39" t="s">
        <v>79</v>
      </c>
      <c r="B43" s="62">
        <v>84.18777777777777</v>
      </c>
      <c r="C43" s="62">
        <v>70.57555555555557</v>
      </c>
      <c r="D43" s="62">
        <v>83.41888888888889</v>
      </c>
      <c r="E43" s="63">
        <v>84.14666666666666</v>
      </c>
      <c r="F43" s="63">
        <v>69.87444444444445</v>
      </c>
      <c r="G43" s="63">
        <v>90.09777777777778</v>
      </c>
    </row>
    <row r="44">
      <c r="A44" s="39" t="s">
        <v>80</v>
      </c>
      <c r="B44" s="64">
        <v>83.74166666666666</v>
      </c>
      <c r="C44" s="64">
        <v>67.80166666666666</v>
      </c>
      <c r="D44" s="62">
        <v>85.42</v>
      </c>
      <c r="E44" s="63">
        <v>83.3</v>
      </c>
      <c r="F44" s="63">
        <v>67.965</v>
      </c>
      <c r="G44" s="63">
        <v>84.75666666666667</v>
      </c>
    </row>
  </sheetData>
  <mergeCells count="7">
    <mergeCell ref="B2:E2"/>
    <mergeCell ref="F2:I2"/>
    <mergeCell ref="B30:D30"/>
    <mergeCell ref="E30:G30"/>
    <mergeCell ref="H30:J30"/>
    <mergeCell ref="B38:D38"/>
    <mergeCell ref="E38:G3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16.0"/>
    <col customWidth="1" min="4" max="4" width="17.13"/>
    <col customWidth="1" min="5" max="5" width="18.25"/>
    <col customWidth="1" min="6" max="6" width="16.63"/>
    <col customWidth="1" min="7" max="7" width="16.13"/>
  </cols>
  <sheetData>
    <row r="3">
      <c r="A3" s="2" t="s">
        <v>1</v>
      </c>
      <c r="B3" s="53" t="s">
        <v>107</v>
      </c>
    </row>
    <row r="4">
      <c r="B4" s="65" t="s">
        <v>108</v>
      </c>
      <c r="C4" s="65" t="s">
        <v>109</v>
      </c>
      <c r="D4" s="65" t="s">
        <v>110</v>
      </c>
      <c r="E4" s="65" t="s">
        <v>111</v>
      </c>
      <c r="F4" s="65" t="s">
        <v>112</v>
      </c>
      <c r="G4" s="65" t="s">
        <v>113</v>
      </c>
    </row>
    <row r="5">
      <c r="A5" s="66" t="s">
        <v>10</v>
      </c>
      <c r="B5" s="22">
        <v>90.94</v>
      </c>
      <c r="C5" s="31">
        <v>91.56</v>
      </c>
      <c r="D5" s="22">
        <v>91.5</v>
      </c>
      <c r="E5" s="19">
        <v>88.62</v>
      </c>
      <c r="F5" s="19">
        <v>90.62</v>
      </c>
      <c r="G5" s="19">
        <v>91.43</v>
      </c>
    </row>
    <row r="6">
      <c r="A6" s="66" t="s">
        <v>11</v>
      </c>
      <c r="B6" s="22">
        <v>83.99</v>
      </c>
      <c r="C6" s="22">
        <v>83.99</v>
      </c>
      <c r="D6" s="22">
        <v>83.87</v>
      </c>
      <c r="E6" s="24">
        <v>85.01</v>
      </c>
      <c r="F6" s="19">
        <v>84.79</v>
      </c>
      <c r="G6" s="19">
        <v>84.41</v>
      </c>
    </row>
    <row r="7">
      <c r="A7" s="66" t="s">
        <v>12</v>
      </c>
      <c r="B7" s="31">
        <v>85.46</v>
      </c>
      <c r="C7" s="31">
        <v>85.46</v>
      </c>
      <c r="D7" s="31">
        <v>85.46</v>
      </c>
      <c r="E7" s="19">
        <v>81.74</v>
      </c>
      <c r="F7" s="19">
        <v>81.49</v>
      </c>
      <c r="G7" s="19">
        <v>81.77</v>
      </c>
    </row>
    <row r="8">
      <c r="A8" s="66" t="s">
        <v>14</v>
      </c>
      <c r="B8" s="22">
        <v>84.17</v>
      </c>
      <c r="C8" s="22">
        <v>84.17</v>
      </c>
      <c r="D8" s="22">
        <v>84.12</v>
      </c>
      <c r="E8" s="19">
        <v>82.48</v>
      </c>
      <c r="F8" s="19">
        <v>82.65</v>
      </c>
      <c r="G8" s="24">
        <v>84.42</v>
      </c>
    </row>
    <row r="9">
      <c r="A9" s="66" t="s">
        <v>15</v>
      </c>
      <c r="B9" s="22">
        <v>85.78</v>
      </c>
      <c r="C9" s="22">
        <v>83.69</v>
      </c>
      <c r="D9" s="22">
        <v>83.42</v>
      </c>
      <c r="E9" s="19">
        <v>84.29</v>
      </c>
      <c r="F9" s="24">
        <v>86.69</v>
      </c>
      <c r="G9" s="19">
        <v>84.64</v>
      </c>
    </row>
    <row r="10">
      <c r="A10" s="66" t="s">
        <v>16</v>
      </c>
      <c r="B10" s="22">
        <v>84.45</v>
      </c>
      <c r="C10" s="22">
        <v>84.45</v>
      </c>
      <c r="D10" s="22">
        <v>84.45</v>
      </c>
      <c r="E10" s="19">
        <v>84.15</v>
      </c>
      <c r="F10" s="19">
        <v>84.73</v>
      </c>
      <c r="G10" s="19">
        <v>83.91</v>
      </c>
    </row>
    <row r="11">
      <c r="A11" s="66" t="s">
        <v>25</v>
      </c>
      <c r="B11" s="22">
        <v>84.2</v>
      </c>
      <c r="C11" s="22">
        <v>84.35</v>
      </c>
      <c r="D11" s="22">
        <v>84.35</v>
      </c>
      <c r="E11" s="19">
        <v>82.31</v>
      </c>
      <c r="F11" s="19">
        <v>83.7</v>
      </c>
      <c r="G11" s="19">
        <v>84.39</v>
      </c>
    </row>
    <row r="12">
      <c r="A12" s="66" t="s">
        <v>31</v>
      </c>
      <c r="B12" s="22">
        <v>81.58</v>
      </c>
      <c r="C12" s="22">
        <v>81.58</v>
      </c>
      <c r="D12" s="22">
        <v>79.46</v>
      </c>
      <c r="E12" s="19">
        <v>78.03</v>
      </c>
      <c r="F12" s="19">
        <v>79.21</v>
      </c>
      <c r="G12" s="19">
        <v>80.06</v>
      </c>
    </row>
    <row r="13">
      <c r="A13" s="66" t="s">
        <v>37</v>
      </c>
      <c r="B13" s="22">
        <v>84.38</v>
      </c>
      <c r="C13" s="22">
        <v>84.38</v>
      </c>
      <c r="D13" s="22">
        <v>84.49</v>
      </c>
      <c r="E13" s="19">
        <v>82.97</v>
      </c>
      <c r="F13" s="19">
        <v>83.67</v>
      </c>
      <c r="G13" s="19">
        <v>83.5</v>
      </c>
    </row>
    <row r="14">
      <c r="A14" s="66" t="s">
        <v>39</v>
      </c>
      <c r="B14" s="22">
        <v>83.44</v>
      </c>
      <c r="C14" s="22">
        <v>83.43</v>
      </c>
      <c r="D14" s="22">
        <v>83.39</v>
      </c>
      <c r="E14" s="19">
        <v>84.23</v>
      </c>
      <c r="F14" s="19">
        <v>84.32</v>
      </c>
      <c r="G14" s="19">
        <v>84.52</v>
      </c>
    </row>
    <row r="15">
      <c r="A15" s="66" t="s">
        <v>43</v>
      </c>
      <c r="B15" s="22">
        <v>82.43</v>
      </c>
      <c r="C15" s="22">
        <v>82.47</v>
      </c>
      <c r="D15" s="22">
        <v>82.49</v>
      </c>
      <c r="E15" s="19">
        <v>83.22</v>
      </c>
      <c r="F15" s="19">
        <v>83.2</v>
      </c>
      <c r="G15" s="19">
        <v>82.99</v>
      </c>
    </row>
    <row r="16">
      <c r="A16" s="66" t="s">
        <v>45</v>
      </c>
      <c r="B16" s="22">
        <v>83.59</v>
      </c>
      <c r="C16" s="22">
        <v>83.59</v>
      </c>
      <c r="D16" s="22">
        <v>83.76</v>
      </c>
      <c r="E16" s="19">
        <v>82.69</v>
      </c>
      <c r="F16" s="19">
        <v>83.11</v>
      </c>
      <c r="G16" s="19">
        <v>82.47</v>
      </c>
    </row>
    <row r="17">
      <c r="A17" s="66" t="s">
        <v>47</v>
      </c>
      <c r="B17" s="22">
        <v>82.03</v>
      </c>
      <c r="C17" s="22">
        <v>82.03</v>
      </c>
      <c r="D17" s="22">
        <v>82.14</v>
      </c>
      <c r="E17" s="19">
        <v>82.24</v>
      </c>
      <c r="F17" s="19">
        <v>82.24</v>
      </c>
      <c r="G17" s="19">
        <v>82.5</v>
      </c>
    </row>
    <row r="18">
      <c r="A18" s="66" t="s">
        <v>59</v>
      </c>
      <c r="B18" s="22">
        <v>82.29</v>
      </c>
      <c r="C18" s="22">
        <v>82.21</v>
      </c>
      <c r="D18" s="22">
        <v>82.32</v>
      </c>
      <c r="E18" s="19">
        <v>82.48</v>
      </c>
      <c r="F18" s="19">
        <v>81.44</v>
      </c>
      <c r="G18" s="19">
        <v>81.36</v>
      </c>
    </row>
    <row r="19">
      <c r="A19" s="66" t="s">
        <v>62</v>
      </c>
      <c r="B19" s="22">
        <v>84.99</v>
      </c>
      <c r="C19" s="22">
        <v>85.03</v>
      </c>
      <c r="D19" s="22">
        <v>84.92</v>
      </c>
      <c r="E19" s="19">
        <v>83.41</v>
      </c>
      <c r="F19" s="19">
        <v>84.08</v>
      </c>
      <c r="G19" s="19">
        <v>84.75</v>
      </c>
    </row>
    <row r="20">
      <c r="A20" s="67" t="s">
        <v>66</v>
      </c>
      <c r="B20" s="57">
        <v>82.92</v>
      </c>
      <c r="C20" s="57">
        <v>83.57</v>
      </c>
      <c r="D20" s="57">
        <v>83.93</v>
      </c>
      <c r="E20" s="19">
        <v>84.51</v>
      </c>
      <c r="F20" s="19">
        <v>84.51</v>
      </c>
      <c r="G20" s="19">
        <v>84.51</v>
      </c>
    </row>
    <row r="21">
      <c r="A21" s="67" t="s">
        <v>68</v>
      </c>
      <c r="B21" s="57">
        <v>82.66</v>
      </c>
      <c r="C21" s="57">
        <v>82.66</v>
      </c>
      <c r="D21" s="57">
        <v>81.85</v>
      </c>
      <c r="E21" s="19">
        <v>81.7</v>
      </c>
      <c r="F21" s="19">
        <v>81.7</v>
      </c>
      <c r="G21" s="19">
        <v>83.18</v>
      </c>
    </row>
    <row r="22">
      <c r="A22" s="67" t="s">
        <v>70</v>
      </c>
      <c r="B22" s="57">
        <v>85.18</v>
      </c>
      <c r="C22" s="57">
        <v>86.48</v>
      </c>
      <c r="D22" s="57">
        <v>85.97</v>
      </c>
      <c r="E22" s="19">
        <v>81.17</v>
      </c>
      <c r="F22" s="19">
        <v>81.32</v>
      </c>
      <c r="G22" s="19">
        <v>81.48</v>
      </c>
    </row>
    <row r="23">
      <c r="A23" s="67" t="s">
        <v>72</v>
      </c>
      <c r="B23" s="57">
        <v>82.54</v>
      </c>
      <c r="C23" s="57">
        <v>82.54</v>
      </c>
      <c r="D23" s="57">
        <v>82.48</v>
      </c>
      <c r="E23" s="1">
        <v>77.94</v>
      </c>
      <c r="F23" s="1">
        <v>80.61</v>
      </c>
      <c r="G23" s="1">
        <v>80.19</v>
      </c>
    </row>
    <row r="24">
      <c r="A24" s="67" t="s">
        <v>73</v>
      </c>
      <c r="B24" s="57">
        <v>84.06</v>
      </c>
      <c r="C24" s="57">
        <v>83.33</v>
      </c>
      <c r="D24" s="57">
        <v>81.42</v>
      </c>
      <c r="E24" s="19">
        <v>85.55</v>
      </c>
      <c r="F24" s="19">
        <v>85.55</v>
      </c>
      <c r="G24" s="19">
        <v>85.55</v>
      </c>
    </row>
    <row r="25">
      <c r="A25" s="67" t="s">
        <v>74</v>
      </c>
      <c r="B25" s="57">
        <v>82.91</v>
      </c>
      <c r="C25" s="57">
        <v>82.91</v>
      </c>
      <c r="D25" s="57">
        <v>83.32</v>
      </c>
      <c r="E25" s="19">
        <v>80.91</v>
      </c>
      <c r="F25" s="19">
        <v>83.18</v>
      </c>
      <c r="G25" s="19">
        <v>83.57</v>
      </c>
    </row>
    <row r="26">
      <c r="A26" s="34" t="s">
        <v>75</v>
      </c>
      <c r="B26" s="36">
        <f t="shared" ref="B26:G26" si="1">AVERAGE(B5:B19)</f>
        <v>84.248</v>
      </c>
      <c r="C26" s="36">
        <f t="shared" si="1"/>
        <v>84.15933333</v>
      </c>
      <c r="D26" s="36">
        <f t="shared" si="1"/>
        <v>84.00933333</v>
      </c>
      <c r="E26" s="36">
        <f t="shared" si="1"/>
        <v>83.19133333</v>
      </c>
      <c r="F26" s="36">
        <f t="shared" si="1"/>
        <v>83.72933333</v>
      </c>
      <c r="G26" s="36">
        <f t="shared" si="1"/>
        <v>83.808</v>
      </c>
    </row>
    <row r="27">
      <c r="A27" s="39" t="s">
        <v>77</v>
      </c>
      <c r="B27" s="36">
        <f t="shared" ref="B27:G27" si="2">AVERAGE(B5:B10,B18:B25)</f>
        <v>84.45285714</v>
      </c>
      <c r="C27" s="36">
        <f t="shared" si="2"/>
        <v>84.43214286</v>
      </c>
      <c r="D27" s="36">
        <f t="shared" si="2"/>
        <v>84.21642857</v>
      </c>
      <c r="E27" s="36">
        <f t="shared" si="2"/>
        <v>83.14</v>
      </c>
      <c r="F27" s="36">
        <f t="shared" si="2"/>
        <v>83.81142857</v>
      </c>
      <c r="G27" s="36">
        <f t="shared" si="2"/>
        <v>83.94071429</v>
      </c>
      <c r="H27" s="7"/>
      <c r="I27" s="7"/>
      <c r="J27" s="7"/>
    </row>
    <row r="28">
      <c r="A28" s="39" t="s">
        <v>78</v>
      </c>
      <c r="B28" s="36">
        <f t="shared" ref="B28:G28" si="3">AVERAGE(B11:B18)</f>
        <v>82.9925</v>
      </c>
      <c r="C28" s="35">
        <f t="shared" si="3"/>
        <v>83.005</v>
      </c>
      <c r="D28" s="36">
        <f t="shared" si="3"/>
        <v>82.8</v>
      </c>
      <c r="E28" s="36">
        <f t="shared" si="3"/>
        <v>82.27125</v>
      </c>
      <c r="F28" s="36">
        <f t="shared" si="3"/>
        <v>82.61125</v>
      </c>
      <c r="G28" s="36">
        <f t="shared" si="3"/>
        <v>82.72375</v>
      </c>
      <c r="H28" s="7"/>
      <c r="I28" s="7"/>
      <c r="J28" s="7"/>
    </row>
    <row r="29">
      <c r="A29" s="39" t="s">
        <v>79</v>
      </c>
      <c r="B29" s="35">
        <f t="shared" ref="B29:G29" si="4">AVERAGE(B5,B8:B13,B16:B17)</f>
        <v>84.56888889</v>
      </c>
      <c r="C29" s="36">
        <f t="shared" si="4"/>
        <v>84.42222222</v>
      </c>
      <c r="D29" s="36">
        <f t="shared" si="4"/>
        <v>84.18777778</v>
      </c>
      <c r="E29" s="36">
        <f t="shared" si="4"/>
        <v>83.08666667</v>
      </c>
      <c r="F29" s="36">
        <f t="shared" si="4"/>
        <v>84.06888889</v>
      </c>
      <c r="G29" s="36">
        <f t="shared" si="4"/>
        <v>84.14666667</v>
      </c>
      <c r="H29" s="7"/>
      <c r="I29" s="7"/>
      <c r="J29" s="7"/>
    </row>
    <row r="30">
      <c r="A30" s="39" t="s">
        <v>80</v>
      </c>
      <c r="B30" s="35">
        <f t="shared" ref="B30:G30" si="5">AVERAGE(B6:B7,B14:B15,B18:B19)</f>
        <v>83.76666667</v>
      </c>
      <c r="C30" s="36">
        <f t="shared" si="5"/>
        <v>83.765</v>
      </c>
      <c r="D30" s="36">
        <f t="shared" si="5"/>
        <v>83.74166667</v>
      </c>
      <c r="E30" s="36">
        <f t="shared" si="5"/>
        <v>83.34833333</v>
      </c>
      <c r="F30" s="36">
        <f t="shared" si="5"/>
        <v>83.22</v>
      </c>
      <c r="G30" s="36">
        <f t="shared" si="5"/>
        <v>83.3</v>
      </c>
      <c r="H30" s="7"/>
      <c r="I30" s="7"/>
      <c r="J30" s="7"/>
    </row>
    <row r="31">
      <c r="A31" s="2" t="s">
        <v>1</v>
      </c>
      <c r="B31" s="53" t="s">
        <v>3</v>
      </c>
    </row>
    <row r="32">
      <c r="B32" s="65" t="s">
        <v>108</v>
      </c>
      <c r="C32" s="65" t="s">
        <v>109</v>
      </c>
      <c r="D32" s="65" t="s">
        <v>110</v>
      </c>
      <c r="E32" s="65" t="s">
        <v>111</v>
      </c>
      <c r="F32" s="65" t="s">
        <v>112</v>
      </c>
      <c r="G32" s="65" t="s">
        <v>113</v>
      </c>
    </row>
    <row r="33">
      <c r="A33" s="66" t="s">
        <v>10</v>
      </c>
      <c r="B33" s="22">
        <v>89.97</v>
      </c>
      <c r="C33" s="22">
        <v>91.48</v>
      </c>
      <c r="D33" s="22">
        <v>92.73</v>
      </c>
      <c r="E33" s="68" t="s">
        <v>114</v>
      </c>
      <c r="F33" s="19">
        <v>86.0</v>
      </c>
      <c r="G33" s="19">
        <v>87.26</v>
      </c>
    </row>
    <row r="34">
      <c r="A34" s="66" t="s">
        <v>11</v>
      </c>
      <c r="B34" s="22">
        <v>63.88</v>
      </c>
      <c r="C34" s="22">
        <v>63.75</v>
      </c>
      <c r="D34" s="22">
        <v>64.35</v>
      </c>
      <c r="E34" s="68" t="s">
        <v>115</v>
      </c>
      <c r="F34" s="19">
        <v>59.96</v>
      </c>
      <c r="G34" s="19">
        <v>61.54</v>
      </c>
    </row>
    <row r="35">
      <c r="A35" s="66" t="s">
        <v>12</v>
      </c>
      <c r="B35" s="22">
        <v>72.42</v>
      </c>
      <c r="C35" s="22">
        <v>72.42</v>
      </c>
      <c r="D35" s="22">
        <v>72.42</v>
      </c>
      <c r="E35" s="68" t="s">
        <v>116</v>
      </c>
      <c r="F35" s="19">
        <v>64.83</v>
      </c>
      <c r="G35" s="19">
        <v>68.47</v>
      </c>
    </row>
    <row r="36">
      <c r="A36" s="66" t="s">
        <v>14</v>
      </c>
      <c r="B36" s="22">
        <v>72.08</v>
      </c>
      <c r="C36" s="22">
        <v>72.08</v>
      </c>
      <c r="D36" s="22">
        <v>71.86</v>
      </c>
      <c r="E36" s="68" t="s">
        <v>117</v>
      </c>
      <c r="F36" s="19">
        <v>65.64</v>
      </c>
      <c r="G36" s="19">
        <v>66.77</v>
      </c>
    </row>
    <row r="37">
      <c r="A37" s="66" t="s">
        <v>15</v>
      </c>
      <c r="B37" s="22">
        <v>68.23</v>
      </c>
      <c r="C37" s="22">
        <v>65.49</v>
      </c>
      <c r="D37" s="22">
        <v>65.49</v>
      </c>
      <c r="E37" s="68" t="s">
        <v>118</v>
      </c>
      <c r="F37" s="19">
        <v>62.13</v>
      </c>
      <c r="G37" s="19">
        <v>63.43</v>
      </c>
    </row>
    <row r="38">
      <c r="A38" s="66" t="s">
        <v>16</v>
      </c>
      <c r="B38" s="22">
        <v>74.42</v>
      </c>
      <c r="C38" s="22">
        <v>74.42</v>
      </c>
      <c r="D38" s="22">
        <v>74.42</v>
      </c>
      <c r="E38" s="68" t="s">
        <v>119</v>
      </c>
      <c r="F38" s="19">
        <v>69.5</v>
      </c>
      <c r="G38" s="19">
        <v>73.91</v>
      </c>
    </row>
    <row r="39">
      <c r="A39" s="66" t="s">
        <v>25</v>
      </c>
      <c r="B39" s="22">
        <v>69.89</v>
      </c>
      <c r="C39" s="22">
        <v>72.88</v>
      </c>
      <c r="D39" s="22">
        <v>72.88</v>
      </c>
      <c r="E39" s="68" t="s">
        <v>120</v>
      </c>
      <c r="F39" s="19">
        <v>73.26</v>
      </c>
      <c r="G39" s="19">
        <v>76.13</v>
      </c>
    </row>
    <row r="40">
      <c r="A40" s="66" t="s">
        <v>31</v>
      </c>
      <c r="B40" s="22">
        <v>62.49</v>
      </c>
      <c r="C40" s="22">
        <v>62.49</v>
      </c>
      <c r="D40" s="22">
        <v>55.23</v>
      </c>
      <c r="E40" s="19">
        <v>51.92</v>
      </c>
      <c r="F40" s="19">
        <v>60.11</v>
      </c>
      <c r="G40" s="19">
        <v>62.34</v>
      </c>
    </row>
    <row r="41">
      <c r="A41" s="66" t="s">
        <v>37</v>
      </c>
      <c r="B41" s="22">
        <v>71.05</v>
      </c>
      <c r="C41" s="22">
        <v>71.05</v>
      </c>
      <c r="D41" s="22">
        <v>71.05</v>
      </c>
      <c r="E41" s="19">
        <v>74.27</v>
      </c>
      <c r="F41" s="19">
        <v>73.94</v>
      </c>
      <c r="G41" s="19">
        <v>74.49</v>
      </c>
    </row>
    <row r="42">
      <c r="A42" s="66" t="s">
        <v>39</v>
      </c>
      <c r="B42" s="22">
        <v>66.35</v>
      </c>
      <c r="C42" s="22">
        <v>66.53</v>
      </c>
      <c r="D42" s="22">
        <v>66.53</v>
      </c>
      <c r="E42" s="19">
        <v>66.27</v>
      </c>
      <c r="F42" s="19">
        <v>66.52</v>
      </c>
      <c r="G42" s="19">
        <v>67.18</v>
      </c>
    </row>
    <row r="43">
      <c r="A43" s="66" t="s">
        <v>43</v>
      </c>
      <c r="B43" s="22">
        <v>71.5</v>
      </c>
      <c r="C43" s="22">
        <v>71.43</v>
      </c>
      <c r="D43" s="22">
        <v>66.53</v>
      </c>
      <c r="E43" s="19">
        <v>73.8</v>
      </c>
      <c r="F43" s="19">
        <v>72.98</v>
      </c>
      <c r="G43" s="19">
        <v>73.46</v>
      </c>
    </row>
    <row r="44">
      <c r="A44" s="66" t="s">
        <v>45</v>
      </c>
      <c r="B44" s="22">
        <v>64.98</v>
      </c>
      <c r="C44" s="22">
        <v>64.98</v>
      </c>
      <c r="D44" s="22">
        <v>67.06</v>
      </c>
      <c r="E44" s="19">
        <v>61.12</v>
      </c>
      <c r="F44" s="19">
        <v>61.74</v>
      </c>
      <c r="G44" s="19">
        <v>60.17</v>
      </c>
    </row>
    <row r="45">
      <c r="A45" s="66" t="s">
        <v>47</v>
      </c>
      <c r="B45" s="22">
        <v>63.75</v>
      </c>
      <c r="C45" s="22">
        <v>63.75</v>
      </c>
      <c r="D45" s="22">
        <v>64.46</v>
      </c>
      <c r="E45" s="19">
        <v>64.53</v>
      </c>
      <c r="F45" s="19">
        <v>64.53</v>
      </c>
      <c r="G45" s="19">
        <v>64.37</v>
      </c>
    </row>
    <row r="46">
      <c r="A46" s="66" t="s">
        <v>59</v>
      </c>
      <c r="B46" s="22">
        <v>62.52</v>
      </c>
      <c r="C46" s="22">
        <v>62.52</v>
      </c>
      <c r="D46" s="22">
        <v>62.29</v>
      </c>
      <c r="E46" s="19">
        <v>63.05</v>
      </c>
      <c r="F46" s="19">
        <v>62.26</v>
      </c>
      <c r="G46" s="19">
        <v>62.47</v>
      </c>
    </row>
    <row r="47">
      <c r="A47" s="66" t="s">
        <v>62</v>
      </c>
      <c r="B47" s="22">
        <v>71.49</v>
      </c>
      <c r="C47" s="22">
        <v>72.81</v>
      </c>
      <c r="D47" s="22">
        <v>74.69</v>
      </c>
      <c r="E47" s="19">
        <v>74.28</v>
      </c>
      <c r="F47" s="19">
        <v>74.89</v>
      </c>
      <c r="G47" s="19">
        <v>74.67</v>
      </c>
    </row>
    <row r="48">
      <c r="A48" s="67" t="s">
        <v>66</v>
      </c>
      <c r="B48" s="57">
        <v>70.15</v>
      </c>
      <c r="C48" s="57">
        <v>68.7</v>
      </c>
      <c r="D48" s="57">
        <v>68.56</v>
      </c>
      <c r="E48" s="19">
        <v>74.14</v>
      </c>
      <c r="F48" s="19">
        <v>74.14</v>
      </c>
      <c r="G48" s="19">
        <v>74.14</v>
      </c>
    </row>
    <row r="49">
      <c r="A49" s="67" t="s">
        <v>68</v>
      </c>
      <c r="B49" s="57">
        <v>61.646</v>
      </c>
      <c r="C49" s="57">
        <v>61.64</v>
      </c>
      <c r="D49" s="57">
        <v>65.32</v>
      </c>
      <c r="E49" s="19">
        <v>74.13</v>
      </c>
      <c r="F49" s="19">
        <v>74.13</v>
      </c>
      <c r="G49" s="19">
        <v>78.74</v>
      </c>
    </row>
    <row r="50">
      <c r="A50" s="67" t="s">
        <v>70</v>
      </c>
      <c r="B50" s="57">
        <v>66.3</v>
      </c>
      <c r="C50" s="57">
        <v>65.39</v>
      </c>
      <c r="D50" s="57">
        <v>65.39</v>
      </c>
      <c r="E50" s="19">
        <v>64.71</v>
      </c>
      <c r="F50" s="19">
        <v>58.96</v>
      </c>
      <c r="G50" s="19">
        <v>65.84</v>
      </c>
    </row>
    <row r="51">
      <c r="A51" s="67" t="s">
        <v>72</v>
      </c>
      <c r="B51" s="57">
        <v>58.55</v>
      </c>
      <c r="C51" s="57">
        <v>58.55</v>
      </c>
      <c r="D51" s="57">
        <v>58.55</v>
      </c>
      <c r="E51" s="1">
        <v>69.36</v>
      </c>
      <c r="F51" s="19">
        <v>72.5</v>
      </c>
      <c r="G51" s="19">
        <v>68.94</v>
      </c>
    </row>
    <row r="52">
      <c r="A52" s="67" t="s">
        <v>73</v>
      </c>
      <c r="B52" s="57">
        <v>66.89</v>
      </c>
      <c r="C52" s="57">
        <v>66.59</v>
      </c>
      <c r="D52" s="57">
        <v>68.41</v>
      </c>
      <c r="E52" s="19">
        <v>65.38</v>
      </c>
      <c r="F52" s="19">
        <v>65.38</v>
      </c>
      <c r="G52" s="19">
        <v>65.38</v>
      </c>
    </row>
    <row r="53">
      <c r="A53" s="67" t="s">
        <v>74</v>
      </c>
      <c r="B53" s="57">
        <v>60.79</v>
      </c>
      <c r="C53" s="57">
        <v>60.79</v>
      </c>
      <c r="D53" s="57">
        <v>66.27</v>
      </c>
      <c r="E53" s="19">
        <v>74.42</v>
      </c>
      <c r="F53" s="19">
        <v>77.81</v>
      </c>
      <c r="G53" s="19">
        <v>78.03</v>
      </c>
    </row>
    <row r="54">
      <c r="A54" s="34" t="s">
        <v>75</v>
      </c>
      <c r="B54" s="36">
        <f t="shared" ref="B54:G54" si="6">AVERAGE(B33:B47)</f>
        <v>69.668</v>
      </c>
      <c r="C54" s="36">
        <f t="shared" si="6"/>
        <v>69.872</v>
      </c>
      <c r="D54" s="36">
        <f t="shared" si="6"/>
        <v>69.466</v>
      </c>
      <c r="E54" s="34">
        <f t="shared" si="6"/>
        <v>66.155</v>
      </c>
      <c r="F54" s="36">
        <f t="shared" si="6"/>
        <v>67.886</v>
      </c>
      <c r="G54" s="36">
        <f t="shared" si="6"/>
        <v>69.11066667</v>
      </c>
    </row>
    <row r="55">
      <c r="A55" s="39" t="s">
        <v>77</v>
      </c>
      <c r="B55" s="36">
        <f t="shared" ref="B55:G55" si="7">AVERAGE(B33:B38,B46:B53)</f>
        <v>68.524</v>
      </c>
      <c r="C55" s="36">
        <f t="shared" si="7"/>
        <v>68.33071429</v>
      </c>
      <c r="D55" s="36">
        <f t="shared" si="7"/>
        <v>69.33928571</v>
      </c>
      <c r="E55" s="69">
        <f t="shared" si="7"/>
        <v>69.93375</v>
      </c>
      <c r="F55" s="36">
        <f t="shared" si="7"/>
        <v>69.15214286</v>
      </c>
      <c r="G55" s="36">
        <f t="shared" si="7"/>
        <v>70.685</v>
      </c>
    </row>
    <row r="56">
      <c r="A56" s="39" t="s">
        <v>78</v>
      </c>
      <c r="B56" s="36">
        <f t="shared" ref="B56:G56" si="8">AVERAGE(B39:B46)</f>
        <v>66.56625</v>
      </c>
      <c r="C56" s="36">
        <f t="shared" si="8"/>
        <v>66.95375</v>
      </c>
      <c r="D56" s="36">
        <f t="shared" si="8"/>
        <v>65.75375</v>
      </c>
      <c r="E56" s="69">
        <f t="shared" si="8"/>
        <v>64.99428571</v>
      </c>
      <c r="F56" s="36">
        <f t="shared" si="8"/>
        <v>66.9175</v>
      </c>
      <c r="G56" s="35">
        <f t="shared" si="8"/>
        <v>67.57625</v>
      </c>
    </row>
    <row r="57">
      <c r="A57" s="39" t="s">
        <v>79</v>
      </c>
      <c r="B57" s="36">
        <f t="shared" ref="B57:G57" si="9">AVERAGE(B33,B36:B41,B44:B45)</f>
        <v>70.76222222</v>
      </c>
      <c r="C57" s="35">
        <f t="shared" si="9"/>
        <v>70.95777778</v>
      </c>
      <c r="D57" s="36">
        <f t="shared" si="9"/>
        <v>70.57555556</v>
      </c>
      <c r="E57" s="69">
        <f t="shared" si="9"/>
        <v>62.96</v>
      </c>
      <c r="F57" s="36">
        <f t="shared" si="9"/>
        <v>68.53888889</v>
      </c>
      <c r="G57" s="36">
        <f t="shared" si="9"/>
        <v>69.87444444</v>
      </c>
    </row>
    <row r="58">
      <c r="A58" s="39" t="s">
        <v>80</v>
      </c>
      <c r="B58" s="36">
        <f t="shared" ref="B58:G58" si="10">AVERAGE(B34:B35,B42:B43,B46:B47)</f>
        <v>68.02666667</v>
      </c>
      <c r="C58" s="36">
        <f t="shared" si="10"/>
        <v>68.24333333</v>
      </c>
      <c r="D58" s="36">
        <f t="shared" si="10"/>
        <v>67.80166667</v>
      </c>
      <c r="E58" s="70">
        <f t="shared" si="10"/>
        <v>69.35</v>
      </c>
      <c r="F58" s="36">
        <f t="shared" si="10"/>
        <v>66.90666667</v>
      </c>
      <c r="G58" s="36">
        <f t="shared" si="10"/>
        <v>67.965</v>
      </c>
    </row>
    <row r="59">
      <c r="A59" s="2" t="s">
        <v>1</v>
      </c>
      <c r="B59" s="53" t="s">
        <v>4</v>
      </c>
    </row>
    <row r="60">
      <c r="B60" s="65" t="s">
        <v>108</v>
      </c>
      <c r="C60" s="65" t="s">
        <v>109</v>
      </c>
      <c r="D60" s="65" t="s">
        <v>110</v>
      </c>
      <c r="E60" s="65" t="s">
        <v>111</v>
      </c>
      <c r="F60" s="65" t="s">
        <v>112</v>
      </c>
      <c r="G60" s="65" t="s">
        <v>113</v>
      </c>
    </row>
    <row r="61">
      <c r="A61" s="66" t="s">
        <v>10</v>
      </c>
      <c r="B61" s="22">
        <v>100.0</v>
      </c>
      <c r="C61" s="22">
        <v>100.0</v>
      </c>
      <c r="D61" s="22">
        <v>100.0</v>
      </c>
      <c r="E61" s="19">
        <v>90.47</v>
      </c>
      <c r="F61" s="19">
        <v>100.0</v>
      </c>
      <c r="G61" s="1">
        <v>100.0</v>
      </c>
    </row>
    <row r="62">
      <c r="A62" s="66" t="s">
        <v>11</v>
      </c>
      <c r="B62" s="22">
        <v>75.0</v>
      </c>
      <c r="C62" s="22">
        <v>75.0</v>
      </c>
      <c r="D62" s="22">
        <v>80.0</v>
      </c>
      <c r="E62" s="19">
        <v>75.0</v>
      </c>
      <c r="F62" s="19">
        <v>80.0</v>
      </c>
      <c r="G62" s="1">
        <v>80.0</v>
      </c>
    </row>
    <row r="63">
      <c r="A63" s="66" t="s">
        <v>12</v>
      </c>
      <c r="B63" s="22">
        <v>87.5</v>
      </c>
      <c r="C63" s="22">
        <v>87.5</v>
      </c>
      <c r="D63" s="22">
        <v>87.5</v>
      </c>
      <c r="E63" s="19">
        <v>75.0</v>
      </c>
      <c r="F63" s="19">
        <v>75.0</v>
      </c>
      <c r="G63" s="1">
        <v>75.0</v>
      </c>
    </row>
    <row r="64">
      <c r="A64" s="66" t="s">
        <v>14</v>
      </c>
      <c r="B64" s="22">
        <v>66.67</v>
      </c>
      <c r="C64" s="22">
        <v>66.66</v>
      </c>
      <c r="D64" s="22">
        <v>75.0</v>
      </c>
      <c r="E64" s="19">
        <v>50.0</v>
      </c>
      <c r="F64" s="19">
        <v>66.66</v>
      </c>
      <c r="G64" s="1">
        <v>66.66</v>
      </c>
    </row>
    <row r="65">
      <c r="A65" s="66" t="s">
        <v>15</v>
      </c>
      <c r="B65" s="22">
        <v>46.67</v>
      </c>
      <c r="C65" s="22">
        <v>53.33</v>
      </c>
      <c r="D65" s="22">
        <v>53.33</v>
      </c>
      <c r="E65" s="19">
        <v>60.0</v>
      </c>
      <c r="F65" s="19">
        <v>73.33</v>
      </c>
      <c r="G65" s="1">
        <v>86.66</v>
      </c>
    </row>
    <row r="66">
      <c r="A66" s="66" t="s">
        <v>16</v>
      </c>
      <c r="B66" s="22">
        <v>83.33</v>
      </c>
      <c r="C66" s="22">
        <v>83.33</v>
      </c>
      <c r="D66" s="22">
        <v>83.33</v>
      </c>
      <c r="E66" s="19">
        <v>91.66</v>
      </c>
      <c r="F66" s="19">
        <v>91.66</v>
      </c>
      <c r="G66" s="1">
        <v>91.66</v>
      </c>
    </row>
    <row r="67">
      <c r="A67" s="66" t="s">
        <v>25</v>
      </c>
      <c r="B67" s="22">
        <v>90.91</v>
      </c>
      <c r="C67" s="22">
        <v>81.81</v>
      </c>
      <c r="D67" s="22">
        <v>81.81</v>
      </c>
      <c r="E67" s="19">
        <v>90.9</v>
      </c>
      <c r="F67" s="19">
        <v>90.9</v>
      </c>
      <c r="G67" s="1">
        <v>90.9</v>
      </c>
    </row>
    <row r="68">
      <c r="A68" s="66" t="s">
        <v>31</v>
      </c>
      <c r="B68" s="22">
        <v>80.0</v>
      </c>
      <c r="C68" s="22">
        <v>80.0</v>
      </c>
      <c r="D68" s="22">
        <v>100.0</v>
      </c>
      <c r="E68" s="19">
        <v>80.0</v>
      </c>
      <c r="F68" s="19">
        <v>100.0</v>
      </c>
      <c r="G68" s="1">
        <v>100.0</v>
      </c>
    </row>
    <row r="69">
      <c r="A69" s="66" t="s">
        <v>37</v>
      </c>
      <c r="B69" s="22">
        <v>100.0</v>
      </c>
      <c r="C69" s="22">
        <v>100.0</v>
      </c>
      <c r="D69" s="22">
        <v>100.0</v>
      </c>
      <c r="E69" s="19">
        <v>100.0</v>
      </c>
      <c r="F69" s="19">
        <v>100.0</v>
      </c>
      <c r="G69" s="1">
        <v>100.0</v>
      </c>
    </row>
    <row r="70">
      <c r="A70" s="66" t="s">
        <v>39</v>
      </c>
      <c r="B70" s="22">
        <v>94.29</v>
      </c>
      <c r="C70" s="22">
        <v>94.28</v>
      </c>
      <c r="D70" s="22">
        <v>94.28</v>
      </c>
      <c r="E70" s="19">
        <v>91.42</v>
      </c>
      <c r="F70" s="19">
        <v>91.42</v>
      </c>
      <c r="G70" s="1">
        <v>88.57</v>
      </c>
    </row>
    <row r="71">
      <c r="A71" s="66" t="s">
        <v>43</v>
      </c>
      <c r="B71" s="22">
        <v>90.32</v>
      </c>
      <c r="C71" s="22">
        <v>90.32</v>
      </c>
      <c r="D71" s="22">
        <v>90.32</v>
      </c>
      <c r="E71" s="19">
        <v>90.32</v>
      </c>
      <c r="F71" s="19">
        <v>70.0</v>
      </c>
      <c r="G71" s="1">
        <v>90.32</v>
      </c>
    </row>
    <row r="72">
      <c r="A72" s="66" t="s">
        <v>45</v>
      </c>
      <c r="B72" s="22">
        <v>65.0</v>
      </c>
      <c r="C72" s="22">
        <v>65.0</v>
      </c>
      <c r="D72" s="22">
        <v>65.0</v>
      </c>
      <c r="E72" s="19">
        <v>70.0</v>
      </c>
      <c r="F72" s="19">
        <v>70.0</v>
      </c>
      <c r="G72" s="1">
        <v>75.0</v>
      </c>
    </row>
    <row r="73">
      <c r="A73" s="66" t="s">
        <v>47</v>
      </c>
      <c r="B73" s="22">
        <v>92.31</v>
      </c>
      <c r="C73" s="22">
        <v>92.3</v>
      </c>
      <c r="D73" s="22">
        <v>92.3</v>
      </c>
      <c r="E73" s="19">
        <v>100.0</v>
      </c>
      <c r="F73" s="19">
        <v>100.0</v>
      </c>
      <c r="G73" s="1">
        <v>100.0</v>
      </c>
    </row>
    <row r="74">
      <c r="A74" s="66" t="s">
        <v>59</v>
      </c>
      <c r="B74" s="22">
        <v>78.95</v>
      </c>
      <c r="C74" s="22">
        <v>78.94</v>
      </c>
      <c r="D74" s="22">
        <v>78.94</v>
      </c>
      <c r="E74" s="19">
        <v>84.21</v>
      </c>
      <c r="F74" s="19">
        <v>89.47</v>
      </c>
      <c r="G74" s="1">
        <v>89.47</v>
      </c>
    </row>
    <row r="75">
      <c r="A75" s="66" t="s">
        <v>62</v>
      </c>
      <c r="B75" s="22">
        <v>81.48</v>
      </c>
      <c r="C75" s="22">
        <v>81.48</v>
      </c>
      <c r="D75" s="22">
        <v>81.48</v>
      </c>
      <c r="E75" s="19">
        <v>81.48</v>
      </c>
      <c r="F75" s="19">
        <v>85.18</v>
      </c>
      <c r="G75" s="1">
        <v>85.18</v>
      </c>
    </row>
    <row r="76">
      <c r="A76" s="67" t="s">
        <v>66</v>
      </c>
      <c r="B76" s="57">
        <v>75.0</v>
      </c>
      <c r="C76" s="57">
        <v>75.0</v>
      </c>
      <c r="D76" s="57">
        <v>75.0</v>
      </c>
      <c r="E76" s="19">
        <v>58.33</v>
      </c>
      <c r="F76" s="19">
        <v>58.33</v>
      </c>
      <c r="G76" s="1">
        <v>58.33</v>
      </c>
    </row>
    <row r="77">
      <c r="A77" s="67" t="s">
        <v>68</v>
      </c>
      <c r="B77" s="57">
        <v>42.85</v>
      </c>
      <c r="C77" s="57">
        <v>42.85</v>
      </c>
      <c r="D77" s="57">
        <v>71.42</v>
      </c>
      <c r="E77" s="19">
        <v>57.14</v>
      </c>
      <c r="F77" s="19">
        <v>57.14</v>
      </c>
      <c r="G77" s="1">
        <v>71.42</v>
      </c>
    </row>
    <row r="78">
      <c r="A78" s="67" t="s">
        <v>70</v>
      </c>
      <c r="B78" s="57">
        <v>54.54</v>
      </c>
      <c r="C78" s="57">
        <v>54.54</v>
      </c>
      <c r="D78" s="57">
        <v>54.54</v>
      </c>
      <c r="E78" s="19">
        <v>54.54</v>
      </c>
      <c r="F78" s="19">
        <v>63.63</v>
      </c>
      <c r="G78" s="1">
        <v>63.63</v>
      </c>
    </row>
    <row r="79">
      <c r="A79" s="67" t="s">
        <v>72</v>
      </c>
      <c r="B79" s="57">
        <v>80.0</v>
      </c>
      <c r="C79" s="57">
        <v>80.0</v>
      </c>
      <c r="D79" s="57">
        <v>80.0</v>
      </c>
      <c r="E79" s="19">
        <v>60.0</v>
      </c>
      <c r="F79" s="19">
        <v>60.0</v>
      </c>
      <c r="G79" s="1">
        <v>60.0</v>
      </c>
    </row>
    <row r="80">
      <c r="A80" s="67" t="s">
        <v>73</v>
      </c>
      <c r="B80" s="57">
        <v>75.0</v>
      </c>
      <c r="C80" s="57">
        <v>75.0</v>
      </c>
      <c r="D80" s="57">
        <v>75.0</v>
      </c>
      <c r="E80" s="19">
        <v>75.0</v>
      </c>
      <c r="F80" s="19">
        <v>75.0</v>
      </c>
      <c r="G80" s="1">
        <v>75.0</v>
      </c>
    </row>
    <row r="81">
      <c r="A81" s="67" t="s">
        <v>74</v>
      </c>
      <c r="B81" s="57">
        <v>100.0</v>
      </c>
      <c r="C81" s="57">
        <v>100.0</v>
      </c>
      <c r="D81" s="57">
        <v>100.0</v>
      </c>
      <c r="E81" s="19">
        <v>85.71</v>
      </c>
      <c r="F81" s="19">
        <v>85.71</v>
      </c>
      <c r="G81" s="1">
        <v>85.71</v>
      </c>
    </row>
    <row r="82">
      <c r="A82" s="34" t="s">
        <v>75</v>
      </c>
      <c r="B82" s="36">
        <f t="shared" ref="B82:G82" si="11">AVERAGE(B61:B75)</f>
        <v>82.162</v>
      </c>
      <c r="C82" s="36">
        <f t="shared" si="11"/>
        <v>81.99666667</v>
      </c>
      <c r="D82" s="36">
        <f t="shared" si="11"/>
        <v>84.21933333</v>
      </c>
      <c r="E82" s="36">
        <f t="shared" si="11"/>
        <v>82.03066667</v>
      </c>
      <c r="F82" s="36">
        <f t="shared" si="11"/>
        <v>85.57466667</v>
      </c>
      <c r="G82" s="36">
        <f t="shared" si="11"/>
        <v>87.96133333</v>
      </c>
    </row>
    <row r="83">
      <c r="A83" s="39" t="s">
        <v>77</v>
      </c>
      <c r="B83" s="36">
        <f t="shared" ref="B83:G83" si="12">AVERAGE(B61:B66,B74:B81)</f>
        <v>74.785</v>
      </c>
      <c r="C83" s="36">
        <f t="shared" si="12"/>
        <v>75.25928571</v>
      </c>
      <c r="D83" s="36">
        <f t="shared" si="12"/>
        <v>78.25285714</v>
      </c>
      <c r="E83" s="36">
        <f t="shared" si="12"/>
        <v>71.32428571</v>
      </c>
      <c r="F83" s="36">
        <f t="shared" si="12"/>
        <v>75.79357143</v>
      </c>
      <c r="G83" s="36">
        <f t="shared" si="12"/>
        <v>77.76571429</v>
      </c>
    </row>
    <row r="84">
      <c r="A84" s="39" t="s">
        <v>78</v>
      </c>
      <c r="B84" s="36">
        <f t="shared" ref="B84:G84" si="13">AVERAGE(B67:B74)</f>
        <v>86.4725</v>
      </c>
      <c r="C84" s="36">
        <f t="shared" si="13"/>
        <v>85.33125</v>
      </c>
      <c r="D84" s="36">
        <f t="shared" si="13"/>
        <v>87.83125</v>
      </c>
      <c r="E84" s="36">
        <f t="shared" si="13"/>
        <v>88.35625</v>
      </c>
      <c r="F84" s="36">
        <f t="shared" si="13"/>
        <v>88.97375</v>
      </c>
      <c r="G84" s="35">
        <f t="shared" si="13"/>
        <v>91.7825</v>
      </c>
    </row>
    <row r="85">
      <c r="A85" s="39" t="s">
        <v>79</v>
      </c>
      <c r="B85" s="36">
        <f t="shared" ref="B85:G85" si="14">AVERAGE(B61,B64:B69,B72:B73)</f>
        <v>80.54333333</v>
      </c>
      <c r="C85" s="36">
        <f t="shared" si="14"/>
        <v>80.27</v>
      </c>
      <c r="D85" s="36">
        <f t="shared" si="14"/>
        <v>83.41888889</v>
      </c>
      <c r="E85" s="36">
        <f t="shared" si="14"/>
        <v>81.44777778</v>
      </c>
      <c r="F85" s="36">
        <f t="shared" si="14"/>
        <v>88.06111111</v>
      </c>
      <c r="G85" s="35">
        <f t="shared" si="14"/>
        <v>90.09777778</v>
      </c>
    </row>
    <row r="86">
      <c r="A86" s="39" t="s">
        <v>80</v>
      </c>
      <c r="B86" s="36">
        <f t="shared" ref="B86:G86" si="15">AVERAGE(B62:B63,B70:B71,B74:B75)</f>
        <v>84.59</v>
      </c>
      <c r="C86" s="36">
        <f t="shared" si="15"/>
        <v>84.58666667</v>
      </c>
      <c r="D86" s="36">
        <f t="shared" si="15"/>
        <v>85.42</v>
      </c>
      <c r="E86" s="36">
        <f t="shared" si="15"/>
        <v>82.905</v>
      </c>
      <c r="F86" s="36">
        <f t="shared" si="15"/>
        <v>81.845</v>
      </c>
      <c r="G86" s="35">
        <f t="shared" si="15"/>
        <v>84.75666667</v>
      </c>
    </row>
    <row r="87">
      <c r="A87" s="29"/>
      <c r="B87" s="53" t="s">
        <v>101</v>
      </c>
    </row>
    <row r="88">
      <c r="A88" s="34" t="s">
        <v>75</v>
      </c>
      <c r="B88" s="7">
        <f t="shared" ref="B88:G88" si="16">AVERAGE(B26,B54,B82)</f>
        <v>78.69266667</v>
      </c>
      <c r="C88" s="7">
        <f t="shared" si="16"/>
        <v>78.676</v>
      </c>
      <c r="D88" s="7">
        <f t="shared" si="16"/>
        <v>79.23155556</v>
      </c>
      <c r="E88" s="7">
        <f t="shared" si="16"/>
        <v>77.12566667</v>
      </c>
      <c r="F88" s="7">
        <f t="shared" si="16"/>
        <v>79.06333333</v>
      </c>
      <c r="G88" s="7">
        <f t="shared" si="16"/>
        <v>80.29333333</v>
      </c>
    </row>
    <row r="89">
      <c r="A89" s="39" t="s">
        <v>77</v>
      </c>
      <c r="B89" s="7">
        <f t="shared" ref="B89:G89" si="17">AVERAGE(B27,B55,B83)</f>
        <v>75.92061905</v>
      </c>
      <c r="C89" s="7">
        <f t="shared" si="17"/>
        <v>76.00738095</v>
      </c>
      <c r="D89" s="7">
        <f t="shared" si="17"/>
        <v>77.26952381</v>
      </c>
      <c r="E89" s="7">
        <f t="shared" si="17"/>
        <v>74.79934524</v>
      </c>
      <c r="F89" s="7">
        <f t="shared" si="17"/>
        <v>76.25238095</v>
      </c>
      <c r="G89" s="7">
        <f t="shared" si="17"/>
        <v>77.46380952</v>
      </c>
    </row>
    <row r="90">
      <c r="A90" s="39" t="s">
        <v>78</v>
      </c>
      <c r="B90" s="7">
        <f t="shared" ref="B90:G90" si="18">AVERAGE(B28,B56,B84)</f>
        <v>78.67708333</v>
      </c>
      <c r="C90" s="7">
        <f t="shared" si="18"/>
        <v>78.43</v>
      </c>
      <c r="D90" s="7">
        <f t="shared" si="18"/>
        <v>78.795</v>
      </c>
      <c r="E90" s="7">
        <f t="shared" si="18"/>
        <v>78.54059524</v>
      </c>
      <c r="F90" s="7">
        <f t="shared" si="18"/>
        <v>79.50083333</v>
      </c>
      <c r="G90" s="12">
        <f t="shared" si="18"/>
        <v>80.69416667</v>
      </c>
    </row>
    <row r="91">
      <c r="A91" s="39" t="s">
        <v>79</v>
      </c>
      <c r="B91" s="7">
        <f t="shared" ref="B91:G91" si="19">AVERAGE(B29,B57,B85)</f>
        <v>78.62481481</v>
      </c>
      <c r="C91" s="7">
        <f t="shared" si="19"/>
        <v>78.55</v>
      </c>
      <c r="D91" s="7">
        <f t="shared" si="19"/>
        <v>79.39407407</v>
      </c>
      <c r="E91" s="7">
        <f t="shared" si="19"/>
        <v>75.83148148</v>
      </c>
      <c r="F91" s="7">
        <f t="shared" si="19"/>
        <v>80.22296296</v>
      </c>
      <c r="G91" s="12">
        <f t="shared" si="19"/>
        <v>81.37296296</v>
      </c>
    </row>
    <row r="92">
      <c r="A92" s="39" t="s">
        <v>80</v>
      </c>
      <c r="B92" s="7">
        <f t="shared" ref="B92:G92" si="20">AVERAGE(B30,B58,B86)</f>
        <v>78.79444444</v>
      </c>
      <c r="C92" s="7">
        <f t="shared" si="20"/>
        <v>78.865</v>
      </c>
      <c r="D92" s="12">
        <f t="shared" si="20"/>
        <v>78.98777778</v>
      </c>
      <c r="E92" s="7">
        <f t="shared" si="20"/>
        <v>78.53444444</v>
      </c>
      <c r="F92" s="7">
        <f t="shared" si="20"/>
        <v>77.32388889</v>
      </c>
      <c r="G92" s="7">
        <f t="shared" si="20"/>
        <v>78.67388889</v>
      </c>
    </row>
  </sheetData>
  <mergeCells count="8">
    <mergeCell ref="A3:A4"/>
    <mergeCell ref="B3:G3"/>
    <mergeCell ref="A31:A32"/>
    <mergeCell ref="B31:G31"/>
    <mergeCell ref="A59:A60"/>
    <mergeCell ref="B59:G59"/>
    <mergeCell ref="H84:I86"/>
    <mergeCell ref="B87:G8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16.0"/>
    <col customWidth="1" min="4" max="4" width="17.13"/>
    <col customWidth="1" min="5" max="6" width="17.63"/>
    <col customWidth="1" min="7" max="7" width="16.13"/>
  </cols>
  <sheetData>
    <row r="3">
      <c r="A3" s="2" t="s">
        <v>1</v>
      </c>
      <c r="B3" s="53" t="s">
        <v>121</v>
      </c>
    </row>
    <row r="4">
      <c r="B4" s="71" t="s">
        <v>122</v>
      </c>
      <c r="C4" s="71" t="s">
        <v>123</v>
      </c>
      <c r="D4" s="71" t="s">
        <v>124</v>
      </c>
      <c r="E4" s="65" t="s">
        <v>111</v>
      </c>
      <c r="F4" s="65" t="s">
        <v>112</v>
      </c>
      <c r="G4" s="65" t="s">
        <v>113</v>
      </c>
    </row>
    <row r="5">
      <c r="A5" s="66" t="s">
        <v>10</v>
      </c>
      <c r="B5" s="7">
        <v>81.48</v>
      </c>
      <c r="C5" s="7">
        <v>92.42</v>
      </c>
      <c r="D5" s="12">
        <v>92.72</v>
      </c>
      <c r="E5" s="1">
        <v>86.15</v>
      </c>
      <c r="F5" s="1">
        <v>87.04</v>
      </c>
      <c r="G5" s="1">
        <v>86.09</v>
      </c>
    </row>
    <row r="6">
      <c r="A6" s="66" t="s">
        <v>11</v>
      </c>
      <c r="B6" s="7">
        <v>81.41</v>
      </c>
      <c r="C6" s="7">
        <v>81.37</v>
      </c>
      <c r="D6" s="7">
        <v>84.19</v>
      </c>
      <c r="E6" s="1">
        <v>81.02</v>
      </c>
      <c r="F6" s="1">
        <v>82.71</v>
      </c>
      <c r="G6" s="1">
        <v>81.95</v>
      </c>
    </row>
    <row r="7">
      <c r="A7" s="66" t="s">
        <v>12</v>
      </c>
      <c r="B7" s="7">
        <v>81.42</v>
      </c>
      <c r="C7" s="7">
        <v>81.65</v>
      </c>
      <c r="D7" s="7">
        <v>84.17</v>
      </c>
      <c r="E7" s="1">
        <v>82.8</v>
      </c>
      <c r="F7" s="1">
        <v>79.95</v>
      </c>
      <c r="G7" s="1">
        <v>78.84</v>
      </c>
    </row>
    <row r="8">
      <c r="A8" s="66" t="s">
        <v>14</v>
      </c>
      <c r="B8" s="7">
        <v>84.19</v>
      </c>
      <c r="C8" s="7">
        <v>84.19</v>
      </c>
      <c r="D8" s="7">
        <v>84.72</v>
      </c>
      <c r="E8" s="1">
        <v>84.61</v>
      </c>
      <c r="F8" s="1">
        <v>84.6</v>
      </c>
      <c r="G8" s="1">
        <v>83.44</v>
      </c>
    </row>
    <row r="9">
      <c r="A9" s="66" t="s">
        <v>15</v>
      </c>
      <c r="B9" s="7">
        <v>83.81</v>
      </c>
      <c r="C9" s="7">
        <v>83.27</v>
      </c>
      <c r="D9" s="7">
        <v>83.11</v>
      </c>
      <c r="E9" s="1">
        <v>81.59</v>
      </c>
      <c r="F9" s="1">
        <v>84.09</v>
      </c>
      <c r="G9" s="1">
        <v>82.9</v>
      </c>
    </row>
    <row r="10">
      <c r="A10" s="66" t="s">
        <v>16</v>
      </c>
      <c r="B10" s="7">
        <v>79.04</v>
      </c>
      <c r="C10" s="7">
        <v>82.83</v>
      </c>
      <c r="D10" s="7">
        <v>82.83</v>
      </c>
      <c r="E10" s="1">
        <v>77.98</v>
      </c>
      <c r="F10" s="1">
        <v>81.91</v>
      </c>
      <c r="G10" s="1">
        <v>82.13</v>
      </c>
    </row>
    <row r="11">
      <c r="A11" s="66" t="s">
        <v>25</v>
      </c>
      <c r="B11" s="7">
        <v>83.39</v>
      </c>
      <c r="C11" s="7">
        <v>83.94</v>
      </c>
      <c r="D11" s="7">
        <v>85.03</v>
      </c>
      <c r="E11" s="1">
        <v>84.39</v>
      </c>
      <c r="F11" s="1">
        <v>84.83</v>
      </c>
      <c r="G11" s="1">
        <v>84.78</v>
      </c>
    </row>
    <row r="12">
      <c r="A12" s="66" t="s">
        <v>31</v>
      </c>
      <c r="B12" s="7">
        <v>81.12</v>
      </c>
      <c r="C12" s="7">
        <v>78.52</v>
      </c>
      <c r="D12" s="7">
        <v>79.65</v>
      </c>
      <c r="E12" s="1">
        <v>81.99</v>
      </c>
      <c r="F12" s="1">
        <v>81.57</v>
      </c>
      <c r="G12" s="1">
        <v>81.84</v>
      </c>
    </row>
    <row r="13">
      <c r="A13" s="66" t="s">
        <v>37</v>
      </c>
      <c r="B13" s="7">
        <v>82.42</v>
      </c>
      <c r="C13" s="7">
        <v>84.4</v>
      </c>
      <c r="D13" s="7">
        <v>84.26</v>
      </c>
      <c r="E13" s="1">
        <v>82.73</v>
      </c>
      <c r="F13" s="1">
        <v>83.81</v>
      </c>
      <c r="G13" s="1">
        <v>83.25</v>
      </c>
    </row>
    <row r="14">
      <c r="A14" s="66" t="s">
        <v>39</v>
      </c>
      <c r="B14" s="7">
        <v>81.91</v>
      </c>
      <c r="C14" s="7">
        <v>82.7</v>
      </c>
      <c r="D14" s="7">
        <v>84.07</v>
      </c>
      <c r="E14" s="1">
        <v>84.53</v>
      </c>
      <c r="F14" s="1">
        <v>84.6</v>
      </c>
      <c r="G14" s="1">
        <v>84.05</v>
      </c>
    </row>
    <row r="15">
      <c r="A15" s="66" t="s">
        <v>43</v>
      </c>
      <c r="B15" s="7">
        <v>81.21</v>
      </c>
      <c r="C15" s="12">
        <v>83.59</v>
      </c>
      <c r="D15" s="7">
        <v>82.85</v>
      </c>
      <c r="E15" s="1">
        <v>84.08</v>
      </c>
      <c r="F15" s="1">
        <v>83.5</v>
      </c>
      <c r="G15" s="1">
        <v>83.58</v>
      </c>
    </row>
    <row r="16">
      <c r="A16" s="66" t="s">
        <v>45</v>
      </c>
      <c r="B16" s="7">
        <v>79.24</v>
      </c>
      <c r="C16" s="7">
        <v>80.66</v>
      </c>
      <c r="D16" s="7">
        <v>82.38</v>
      </c>
      <c r="E16" s="1">
        <v>83.12</v>
      </c>
      <c r="F16" s="1">
        <v>81.82</v>
      </c>
      <c r="G16" s="1">
        <v>81.67</v>
      </c>
    </row>
    <row r="17">
      <c r="A17" s="66" t="s">
        <v>47</v>
      </c>
      <c r="B17" s="12">
        <v>83.36</v>
      </c>
      <c r="C17" s="7">
        <v>82.88</v>
      </c>
      <c r="D17" s="7">
        <v>82.28</v>
      </c>
      <c r="E17" s="1">
        <v>79.97</v>
      </c>
      <c r="F17" s="1">
        <v>82.04</v>
      </c>
      <c r="G17" s="1">
        <v>81.72</v>
      </c>
    </row>
    <row r="18">
      <c r="A18" s="66" t="s">
        <v>59</v>
      </c>
      <c r="B18" s="7">
        <v>83.01</v>
      </c>
      <c r="C18" s="7">
        <v>82.24</v>
      </c>
      <c r="D18" s="7">
        <v>82.52</v>
      </c>
      <c r="E18" s="1">
        <v>81.85</v>
      </c>
      <c r="F18" s="1">
        <v>81.9</v>
      </c>
      <c r="G18" s="1">
        <v>81.36</v>
      </c>
    </row>
    <row r="19">
      <c r="A19" s="66" t="s">
        <v>62</v>
      </c>
      <c r="B19" s="7">
        <v>84.99</v>
      </c>
      <c r="C19" s="12">
        <v>85.36</v>
      </c>
      <c r="D19" s="7">
        <v>84.76</v>
      </c>
      <c r="E19" s="1">
        <v>84.22</v>
      </c>
      <c r="F19" s="1">
        <v>85.72</v>
      </c>
      <c r="G19" s="1">
        <v>84.7</v>
      </c>
    </row>
    <row r="20">
      <c r="A20" s="67" t="s">
        <v>66</v>
      </c>
      <c r="B20" s="19">
        <v>84.24</v>
      </c>
      <c r="C20" s="24">
        <v>85.09</v>
      </c>
      <c r="D20" s="19">
        <v>84.46</v>
      </c>
      <c r="E20" s="1">
        <v>82.95</v>
      </c>
      <c r="F20" s="1">
        <v>84.51</v>
      </c>
      <c r="G20" s="1">
        <v>84.51</v>
      </c>
    </row>
    <row r="21">
      <c r="A21" s="67" t="s">
        <v>68</v>
      </c>
      <c r="B21" s="19">
        <v>81.95</v>
      </c>
      <c r="C21" s="24">
        <v>81.36</v>
      </c>
      <c r="D21" s="19">
        <v>81.75</v>
      </c>
      <c r="E21" s="1">
        <v>83.63</v>
      </c>
      <c r="F21" s="1">
        <v>83.63</v>
      </c>
      <c r="G21" s="1">
        <v>83.63</v>
      </c>
    </row>
    <row r="22">
      <c r="A22" s="67" t="s">
        <v>70</v>
      </c>
      <c r="B22" s="19">
        <v>84.54</v>
      </c>
      <c r="C22" s="24">
        <v>84.96</v>
      </c>
      <c r="D22" s="19">
        <v>84.89</v>
      </c>
      <c r="E22" s="1">
        <v>80.22</v>
      </c>
      <c r="F22" s="1">
        <v>80.39</v>
      </c>
      <c r="G22" s="1">
        <v>80.46</v>
      </c>
    </row>
    <row r="23">
      <c r="A23" s="67" t="s">
        <v>72</v>
      </c>
      <c r="B23" s="19">
        <v>86.81</v>
      </c>
      <c r="C23" s="24">
        <v>81.49</v>
      </c>
      <c r="D23" s="19">
        <v>81.77</v>
      </c>
      <c r="E23" s="1">
        <v>81.45</v>
      </c>
      <c r="F23" s="1">
        <v>80.03</v>
      </c>
      <c r="G23" s="1">
        <v>81.3</v>
      </c>
    </row>
    <row r="24">
      <c r="A24" s="67" t="s">
        <v>73</v>
      </c>
      <c r="B24" s="19">
        <v>78.63</v>
      </c>
      <c r="C24" s="24">
        <v>78.63</v>
      </c>
      <c r="D24" s="19">
        <v>79.82</v>
      </c>
      <c r="E24" s="1">
        <v>84.23</v>
      </c>
      <c r="F24" s="1">
        <v>87.07</v>
      </c>
      <c r="G24" s="1">
        <v>87.07</v>
      </c>
    </row>
    <row r="25">
      <c r="A25" s="67" t="s">
        <v>74</v>
      </c>
      <c r="B25" s="19">
        <v>81.88</v>
      </c>
      <c r="C25" s="24">
        <v>81.19</v>
      </c>
      <c r="D25" s="19">
        <v>82.98</v>
      </c>
      <c r="E25" s="1">
        <v>81.99</v>
      </c>
      <c r="F25" s="1">
        <v>82.74</v>
      </c>
      <c r="G25" s="1">
        <v>84.15</v>
      </c>
    </row>
    <row r="26">
      <c r="A26" s="34" t="s">
        <v>75</v>
      </c>
      <c r="B26" s="36">
        <f t="shared" ref="B26:G26" si="1">AVERAGE(B5:B25)</f>
        <v>82.38333333</v>
      </c>
      <c r="C26" s="36">
        <f t="shared" si="1"/>
        <v>82.98761905</v>
      </c>
      <c r="D26" s="36">
        <f t="shared" si="1"/>
        <v>83.58142857</v>
      </c>
      <c r="E26" s="36">
        <f t="shared" si="1"/>
        <v>82.64285714</v>
      </c>
      <c r="F26" s="36">
        <f t="shared" si="1"/>
        <v>83.26</v>
      </c>
      <c r="G26" s="36">
        <f t="shared" si="1"/>
        <v>83.02</v>
      </c>
    </row>
    <row r="27">
      <c r="A27" s="39" t="s">
        <v>77</v>
      </c>
      <c r="B27" s="36">
        <f t="shared" ref="B27:G27" si="2">AVERAGE(B5:B10,B18:B25)</f>
        <v>82.67142857</v>
      </c>
      <c r="C27" s="36">
        <f t="shared" si="2"/>
        <v>83.28928571</v>
      </c>
      <c r="D27" s="36">
        <f t="shared" si="2"/>
        <v>83.90642857</v>
      </c>
      <c r="E27" s="36">
        <f t="shared" si="2"/>
        <v>82.47785714</v>
      </c>
      <c r="F27" s="36">
        <f t="shared" si="2"/>
        <v>83.30642857</v>
      </c>
      <c r="G27" s="36">
        <f t="shared" si="2"/>
        <v>83.03785714</v>
      </c>
    </row>
    <row r="28">
      <c r="A28" s="39" t="s">
        <v>78</v>
      </c>
      <c r="B28" s="36">
        <f t="shared" ref="B28:G28" si="3">AVERAGE(B11:B18)</f>
        <v>81.9575</v>
      </c>
      <c r="C28" s="36">
        <f t="shared" si="3"/>
        <v>82.36625</v>
      </c>
      <c r="D28" s="36">
        <f t="shared" si="3"/>
        <v>82.88</v>
      </c>
      <c r="E28" s="36">
        <f t="shared" si="3"/>
        <v>82.8325</v>
      </c>
      <c r="F28" s="35">
        <f t="shared" si="3"/>
        <v>83.00875</v>
      </c>
      <c r="G28" s="36">
        <f t="shared" si="3"/>
        <v>82.78125</v>
      </c>
    </row>
    <row r="29">
      <c r="A29" s="39" t="s">
        <v>79</v>
      </c>
      <c r="B29" s="36">
        <f t="shared" ref="B29:G29" si="4">AVERAGE(B5,B8:B13,B16:B17)</f>
        <v>82.00555556</v>
      </c>
      <c r="C29" s="36">
        <f t="shared" si="4"/>
        <v>83.67888889</v>
      </c>
      <c r="D29" s="35">
        <f t="shared" si="4"/>
        <v>84.10888889</v>
      </c>
      <c r="E29" s="36">
        <f t="shared" si="4"/>
        <v>82.50333333</v>
      </c>
      <c r="F29" s="36">
        <f t="shared" si="4"/>
        <v>83.52333333</v>
      </c>
      <c r="G29" s="36">
        <f t="shared" si="4"/>
        <v>83.09111111</v>
      </c>
    </row>
    <row r="30">
      <c r="A30" s="39" t="s">
        <v>80</v>
      </c>
      <c r="B30" s="36">
        <f t="shared" ref="B30:G30" si="5">AVERAGE(B6:B7,B14:B15,B18:B19)</f>
        <v>82.325</v>
      </c>
      <c r="C30" s="36">
        <f t="shared" si="5"/>
        <v>82.81833333</v>
      </c>
      <c r="D30" s="35">
        <f t="shared" si="5"/>
        <v>83.76</v>
      </c>
      <c r="E30" s="36">
        <f t="shared" si="5"/>
        <v>83.08333333</v>
      </c>
      <c r="F30" s="36">
        <f t="shared" si="5"/>
        <v>83.06333333</v>
      </c>
      <c r="G30" s="36">
        <f t="shared" si="5"/>
        <v>82.41333333</v>
      </c>
    </row>
    <row r="31">
      <c r="A31" s="2" t="s">
        <v>1</v>
      </c>
      <c r="B31" s="53" t="s">
        <v>3</v>
      </c>
    </row>
    <row r="32">
      <c r="B32" s="71" t="s">
        <v>122</v>
      </c>
      <c r="C32" s="71" t="s">
        <v>123</v>
      </c>
      <c r="D32" s="71" t="s">
        <v>124</v>
      </c>
      <c r="E32" s="65" t="s">
        <v>111</v>
      </c>
      <c r="F32" s="65" t="s">
        <v>112</v>
      </c>
      <c r="G32" s="65" t="s">
        <v>113</v>
      </c>
    </row>
    <row r="33">
      <c r="A33" s="66" t="s">
        <v>10</v>
      </c>
      <c r="B33" s="72" t="s">
        <v>125</v>
      </c>
      <c r="C33" s="7">
        <v>86.92</v>
      </c>
      <c r="D33" s="7">
        <v>92.55</v>
      </c>
      <c r="E33" s="1">
        <v>61.89</v>
      </c>
      <c r="F33" s="1">
        <v>62.96</v>
      </c>
      <c r="G33" s="1">
        <v>64.21</v>
      </c>
    </row>
    <row r="34">
      <c r="A34" s="66" t="s">
        <v>11</v>
      </c>
      <c r="B34" s="72" t="s">
        <v>126</v>
      </c>
      <c r="C34" s="7">
        <v>61.76</v>
      </c>
      <c r="D34" s="7">
        <v>56.72</v>
      </c>
      <c r="E34" s="1">
        <v>66.15</v>
      </c>
      <c r="F34" s="1">
        <v>67.94</v>
      </c>
      <c r="G34" s="1">
        <v>68.33</v>
      </c>
    </row>
    <row r="35">
      <c r="A35" s="66" t="s">
        <v>12</v>
      </c>
      <c r="B35" s="72" t="s">
        <v>127</v>
      </c>
      <c r="C35" s="7">
        <v>68.42</v>
      </c>
      <c r="D35" s="7">
        <v>69.7</v>
      </c>
      <c r="E35" s="1">
        <v>70.09</v>
      </c>
      <c r="F35" s="1">
        <v>59.61</v>
      </c>
      <c r="G35" s="1">
        <v>64.13</v>
      </c>
    </row>
    <row r="36">
      <c r="A36" s="66" t="s">
        <v>14</v>
      </c>
      <c r="B36" s="72" t="s">
        <v>128</v>
      </c>
      <c r="C36" s="7">
        <v>70.28</v>
      </c>
      <c r="D36" s="7">
        <v>69.56</v>
      </c>
      <c r="E36" s="1">
        <v>58.93</v>
      </c>
      <c r="F36" s="1">
        <v>64.16</v>
      </c>
      <c r="G36" s="1">
        <v>55.82</v>
      </c>
    </row>
    <row r="37">
      <c r="A37" s="66" t="s">
        <v>15</v>
      </c>
      <c r="B37" s="72" t="s">
        <v>129</v>
      </c>
      <c r="C37" s="7">
        <v>61.86</v>
      </c>
      <c r="D37" s="7">
        <v>65.15</v>
      </c>
      <c r="E37" s="1">
        <v>53.49</v>
      </c>
      <c r="F37" s="1">
        <v>56.38</v>
      </c>
      <c r="G37" s="1">
        <v>56.92</v>
      </c>
    </row>
    <row r="38">
      <c r="A38" s="66" t="s">
        <v>16</v>
      </c>
      <c r="B38" s="72" t="s">
        <v>130</v>
      </c>
      <c r="C38" s="7">
        <v>69.82</v>
      </c>
      <c r="D38" s="7">
        <v>69.82</v>
      </c>
      <c r="E38" s="1">
        <v>68.28</v>
      </c>
      <c r="F38" s="1">
        <v>64.96</v>
      </c>
      <c r="G38" s="1">
        <v>65.72</v>
      </c>
    </row>
    <row r="39">
      <c r="A39" s="66" t="s">
        <v>25</v>
      </c>
      <c r="B39" s="72" t="s">
        <v>131</v>
      </c>
      <c r="C39" s="7">
        <v>71.59</v>
      </c>
      <c r="D39" s="7">
        <v>73.02</v>
      </c>
      <c r="E39" s="1">
        <v>72.01</v>
      </c>
      <c r="F39" s="1">
        <v>70.87</v>
      </c>
      <c r="G39" s="1">
        <v>72.92</v>
      </c>
    </row>
    <row r="40">
      <c r="A40" s="66" t="s">
        <v>31</v>
      </c>
      <c r="B40" s="12">
        <v>64.34</v>
      </c>
      <c r="C40" s="7">
        <v>57.69</v>
      </c>
      <c r="D40" s="7">
        <v>55.73</v>
      </c>
      <c r="E40" s="1">
        <v>56.24</v>
      </c>
      <c r="F40" s="1">
        <v>56.19</v>
      </c>
      <c r="G40" s="1">
        <v>55.36</v>
      </c>
    </row>
    <row r="41">
      <c r="A41" s="66" t="s">
        <v>37</v>
      </c>
      <c r="B41" s="7">
        <v>69.77</v>
      </c>
      <c r="C41" s="7">
        <v>69.37</v>
      </c>
      <c r="D41" s="7">
        <v>67.59</v>
      </c>
      <c r="E41" s="1">
        <v>77.73</v>
      </c>
      <c r="F41" s="1">
        <v>76.69</v>
      </c>
      <c r="G41" s="1">
        <v>74.41</v>
      </c>
    </row>
    <row r="42">
      <c r="A42" s="66" t="s">
        <v>39</v>
      </c>
      <c r="B42" s="7">
        <v>62.63</v>
      </c>
      <c r="C42" s="7">
        <v>64.04</v>
      </c>
      <c r="D42" s="7">
        <v>66.39</v>
      </c>
      <c r="E42" s="1">
        <v>63.29</v>
      </c>
      <c r="F42" s="1">
        <v>65.22</v>
      </c>
      <c r="G42" s="1">
        <v>65.06</v>
      </c>
    </row>
    <row r="43">
      <c r="A43" s="66" t="s">
        <v>43</v>
      </c>
      <c r="B43" s="7">
        <v>73.68</v>
      </c>
      <c r="C43" s="7">
        <v>74.07</v>
      </c>
      <c r="D43" s="12">
        <v>74.63</v>
      </c>
      <c r="E43" s="1">
        <v>73.4</v>
      </c>
      <c r="F43" s="1">
        <v>71.85</v>
      </c>
      <c r="G43" s="1">
        <v>73.96</v>
      </c>
    </row>
    <row r="44">
      <c r="A44" s="66" t="s">
        <v>45</v>
      </c>
      <c r="B44" s="7">
        <v>65.34</v>
      </c>
      <c r="C44" s="7">
        <v>63.1</v>
      </c>
      <c r="D44" s="12">
        <v>68.18</v>
      </c>
      <c r="E44" s="1">
        <v>60.16</v>
      </c>
      <c r="F44" s="1">
        <v>60.53</v>
      </c>
      <c r="G44" s="1">
        <v>55.96</v>
      </c>
    </row>
    <row r="45">
      <c r="A45" s="66" t="s">
        <v>47</v>
      </c>
      <c r="B45" s="7">
        <v>66.08</v>
      </c>
      <c r="C45" s="7">
        <v>61.79</v>
      </c>
      <c r="D45" s="7">
        <v>63.29</v>
      </c>
      <c r="E45" s="1">
        <v>65.7</v>
      </c>
      <c r="F45" s="1">
        <v>62.59</v>
      </c>
      <c r="G45" s="1">
        <v>64.39</v>
      </c>
    </row>
    <row r="46">
      <c r="A46" s="66" t="s">
        <v>59</v>
      </c>
      <c r="B46" s="7">
        <v>65.06</v>
      </c>
      <c r="C46" s="7">
        <v>61.86</v>
      </c>
      <c r="D46" s="7">
        <v>62.21</v>
      </c>
      <c r="E46" s="1">
        <v>64.52</v>
      </c>
      <c r="F46" s="1">
        <v>63.89</v>
      </c>
      <c r="G46" s="1">
        <v>65.96</v>
      </c>
    </row>
    <row r="47">
      <c r="A47" s="66" t="s">
        <v>62</v>
      </c>
      <c r="B47" s="7">
        <v>71.49</v>
      </c>
      <c r="C47" s="7">
        <v>72.26</v>
      </c>
      <c r="D47" s="12">
        <v>75.28</v>
      </c>
      <c r="E47" s="1">
        <v>76.1</v>
      </c>
      <c r="F47" s="1">
        <v>77.63</v>
      </c>
      <c r="G47" s="1">
        <v>73.9</v>
      </c>
    </row>
    <row r="48">
      <c r="A48" s="67" t="s">
        <v>66</v>
      </c>
      <c r="B48" s="19">
        <v>69.27</v>
      </c>
      <c r="C48" s="19">
        <v>64.57</v>
      </c>
      <c r="D48" s="24">
        <v>68.56</v>
      </c>
      <c r="E48" s="1">
        <v>72.22</v>
      </c>
      <c r="F48" s="1">
        <v>74.14</v>
      </c>
      <c r="G48" s="1">
        <v>74.14</v>
      </c>
    </row>
    <row r="49">
      <c r="A49" s="67" t="s">
        <v>68</v>
      </c>
      <c r="B49" s="19">
        <v>64.95</v>
      </c>
      <c r="C49" s="19">
        <v>62.93</v>
      </c>
      <c r="D49" s="24">
        <v>65.32</v>
      </c>
      <c r="E49" s="1">
        <v>78.74</v>
      </c>
      <c r="F49" s="1">
        <v>78.74</v>
      </c>
      <c r="G49" s="1">
        <v>78.74</v>
      </c>
    </row>
    <row r="50">
      <c r="A50" s="67" t="s">
        <v>70</v>
      </c>
      <c r="B50" s="19">
        <v>62.12</v>
      </c>
      <c r="C50" s="19">
        <v>62.0</v>
      </c>
      <c r="D50" s="24">
        <v>65.39</v>
      </c>
      <c r="E50" s="1">
        <v>56.95</v>
      </c>
      <c r="F50" s="1">
        <v>61.25</v>
      </c>
      <c r="G50" s="1">
        <v>62.91</v>
      </c>
    </row>
    <row r="51">
      <c r="A51" s="67" t="s">
        <v>72</v>
      </c>
      <c r="B51" s="19">
        <v>78.76</v>
      </c>
      <c r="C51" s="19">
        <v>44.37</v>
      </c>
      <c r="D51" s="24">
        <v>58.55</v>
      </c>
      <c r="E51" s="1">
        <v>70.27</v>
      </c>
      <c r="F51" s="1">
        <v>67.95</v>
      </c>
      <c r="G51" s="1">
        <v>60.79</v>
      </c>
    </row>
    <row r="52">
      <c r="A52" s="67" t="s">
        <v>73</v>
      </c>
      <c r="B52" s="19">
        <v>69.05</v>
      </c>
      <c r="C52" s="19">
        <v>69.05</v>
      </c>
      <c r="D52" s="24">
        <v>68.41</v>
      </c>
      <c r="E52" s="1">
        <v>60.16</v>
      </c>
      <c r="F52" s="1">
        <v>66.88</v>
      </c>
      <c r="G52" s="1">
        <v>66.88</v>
      </c>
    </row>
    <row r="53">
      <c r="A53" s="67" t="s">
        <v>74</v>
      </c>
      <c r="B53" s="19">
        <v>67.85</v>
      </c>
      <c r="C53" s="19">
        <v>68.63</v>
      </c>
      <c r="D53" s="24">
        <v>66.27</v>
      </c>
      <c r="E53" s="1">
        <v>70.96</v>
      </c>
      <c r="F53" s="1">
        <v>74.72</v>
      </c>
      <c r="G53" s="1">
        <v>79.65</v>
      </c>
    </row>
    <row r="54">
      <c r="A54" s="34" t="s">
        <v>75</v>
      </c>
      <c r="B54" s="69">
        <f t="shared" ref="B54:G54" si="6">AVERAGE(B33:B53)</f>
        <v>67.885</v>
      </c>
      <c r="C54" s="69">
        <f t="shared" si="6"/>
        <v>66.01809524</v>
      </c>
      <c r="D54" s="69">
        <f t="shared" si="6"/>
        <v>67.72952381</v>
      </c>
      <c r="E54" s="69">
        <f t="shared" si="6"/>
        <v>66.53714286</v>
      </c>
      <c r="F54" s="69">
        <f t="shared" si="6"/>
        <v>66.91190476</v>
      </c>
      <c r="G54" s="69">
        <f t="shared" si="6"/>
        <v>66.67428571</v>
      </c>
    </row>
    <row r="55">
      <c r="A55" s="39" t="s">
        <v>77</v>
      </c>
      <c r="B55" s="69">
        <f t="shared" ref="B55:G55" si="7">AVERAGE(B33:B38,B46:B53)</f>
        <v>68.56875</v>
      </c>
      <c r="C55" s="36">
        <f t="shared" si="7"/>
        <v>66.05214286</v>
      </c>
      <c r="D55" s="36">
        <f t="shared" si="7"/>
        <v>68.10642857</v>
      </c>
      <c r="E55" s="36">
        <f t="shared" si="7"/>
        <v>66.33928571</v>
      </c>
      <c r="F55" s="36">
        <f t="shared" si="7"/>
        <v>67.22928571</v>
      </c>
      <c r="G55" s="36">
        <f t="shared" si="7"/>
        <v>67.00714286</v>
      </c>
    </row>
    <row r="56">
      <c r="A56" s="39" t="s">
        <v>78</v>
      </c>
      <c r="B56" s="70">
        <f t="shared" ref="B56:G56" si="8">AVERAGE(B39:B46)</f>
        <v>66.7</v>
      </c>
      <c r="C56" s="36">
        <f t="shared" si="8"/>
        <v>65.43875</v>
      </c>
      <c r="D56" s="36">
        <f t="shared" si="8"/>
        <v>66.38</v>
      </c>
      <c r="E56" s="36">
        <f t="shared" si="8"/>
        <v>66.63125</v>
      </c>
      <c r="F56" s="36">
        <f t="shared" si="8"/>
        <v>65.97875</v>
      </c>
      <c r="G56" s="36">
        <f t="shared" si="8"/>
        <v>66.0025</v>
      </c>
    </row>
    <row r="57">
      <c r="A57" s="39" t="s">
        <v>79</v>
      </c>
      <c r="B57" s="69">
        <f t="shared" ref="B57:G57" si="9">AVERAGE(B33,B36:B41,B44:B45)</f>
        <v>66.3825</v>
      </c>
      <c r="C57" s="36">
        <f t="shared" si="9"/>
        <v>68.04666667</v>
      </c>
      <c r="D57" s="35">
        <f t="shared" si="9"/>
        <v>69.43222222</v>
      </c>
      <c r="E57" s="36">
        <f t="shared" si="9"/>
        <v>63.82555556</v>
      </c>
      <c r="F57" s="36">
        <f t="shared" si="9"/>
        <v>63.92555556</v>
      </c>
      <c r="G57" s="36">
        <f t="shared" si="9"/>
        <v>62.85666667</v>
      </c>
    </row>
    <row r="58">
      <c r="A58" s="39" t="s">
        <v>80</v>
      </c>
      <c r="B58" s="69">
        <f t="shared" ref="B58:G58" si="10">AVERAGE(B34:B35,B42:B43,B46:B47)</f>
        <v>68.215</v>
      </c>
      <c r="C58" s="36">
        <f t="shared" si="10"/>
        <v>67.06833333</v>
      </c>
      <c r="D58" s="36">
        <f t="shared" si="10"/>
        <v>67.48833333</v>
      </c>
      <c r="E58" s="35">
        <f t="shared" si="10"/>
        <v>68.925</v>
      </c>
      <c r="F58" s="36">
        <f t="shared" si="10"/>
        <v>67.69</v>
      </c>
      <c r="G58" s="36">
        <f t="shared" si="10"/>
        <v>68.55666667</v>
      </c>
    </row>
    <row r="59">
      <c r="A59" s="2" t="s">
        <v>1</v>
      </c>
      <c r="B59" s="53" t="s">
        <v>4</v>
      </c>
    </row>
    <row r="60">
      <c r="B60" s="5" t="s">
        <v>122</v>
      </c>
      <c r="C60" s="5" t="s">
        <v>123</v>
      </c>
      <c r="D60" s="5" t="s">
        <v>124</v>
      </c>
      <c r="E60" s="65" t="s">
        <v>111</v>
      </c>
      <c r="F60" s="65" t="s">
        <v>112</v>
      </c>
      <c r="G60" s="65" t="s">
        <v>113</v>
      </c>
    </row>
    <row r="61">
      <c r="A61" s="66" t="s">
        <v>10</v>
      </c>
      <c r="B61" s="7">
        <v>95.23</v>
      </c>
      <c r="C61" s="12">
        <v>100.0</v>
      </c>
      <c r="D61" s="12">
        <v>100.0</v>
      </c>
      <c r="E61" s="1">
        <v>52.38</v>
      </c>
      <c r="F61" s="1">
        <v>66.66</v>
      </c>
      <c r="G61" s="1">
        <v>71.42</v>
      </c>
    </row>
    <row r="62">
      <c r="A62" s="66" t="s">
        <v>11</v>
      </c>
      <c r="B62" s="7">
        <v>50.0</v>
      </c>
      <c r="C62" s="7">
        <v>55.0</v>
      </c>
      <c r="D62" s="7">
        <v>65.0</v>
      </c>
      <c r="E62" s="1">
        <v>50.0</v>
      </c>
      <c r="F62" s="1">
        <v>50.0</v>
      </c>
      <c r="G62" s="1">
        <v>55.0</v>
      </c>
    </row>
    <row r="63">
      <c r="A63" s="66" t="s">
        <v>12</v>
      </c>
      <c r="B63" s="7">
        <v>62.5</v>
      </c>
      <c r="C63" s="7">
        <v>75.0</v>
      </c>
      <c r="D63" s="12">
        <v>87.5</v>
      </c>
      <c r="E63" s="1">
        <v>12.5</v>
      </c>
      <c r="F63" s="1">
        <v>62.5</v>
      </c>
      <c r="G63" s="1">
        <v>75.0</v>
      </c>
    </row>
    <row r="64">
      <c r="A64" s="66" t="s">
        <v>14</v>
      </c>
      <c r="B64" s="12">
        <v>75.0</v>
      </c>
      <c r="C64" s="12">
        <v>75.0</v>
      </c>
      <c r="D64" s="12">
        <v>75.0</v>
      </c>
      <c r="E64" s="1">
        <v>50.0</v>
      </c>
      <c r="F64" s="1">
        <v>58.33</v>
      </c>
      <c r="G64" s="1">
        <v>66.66</v>
      </c>
    </row>
    <row r="65">
      <c r="A65" s="66" t="s">
        <v>15</v>
      </c>
      <c r="B65" s="7">
        <v>33.33</v>
      </c>
      <c r="C65" s="7">
        <v>46.66</v>
      </c>
      <c r="D65" s="12">
        <v>60.0</v>
      </c>
      <c r="E65" s="1">
        <v>60.0</v>
      </c>
      <c r="F65" s="1">
        <v>60.0</v>
      </c>
      <c r="G65" s="1">
        <v>66.66</v>
      </c>
    </row>
    <row r="66">
      <c r="A66" s="66" t="s">
        <v>16</v>
      </c>
      <c r="B66" s="7">
        <v>66.66</v>
      </c>
      <c r="C66" s="12">
        <v>83.33</v>
      </c>
      <c r="D66" s="12">
        <v>83.33</v>
      </c>
      <c r="E66" s="1">
        <v>25.0</v>
      </c>
      <c r="F66" s="1">
        <v>58.33</v>
      </c>
      <c r="G66" s="1">
        <v>58.33</v>
      </c>
    </row>
    <row r="67">
      <c r="A67" s="66" t="s">
        <v>25</v>
      </c>
      <c r="B67" s="7">
        <v>90.9</v>
      </c>
      <c r="C67" s="7">
        <v>81.81</v>
      </c>
      <c r="D67" s="7">
        <v>81.81</v>
      </c>
      <c r="E67" s="1">
        <v>81.81</v>
      </c>
      <c r="F67" s="1">
        <v>90.9</v>
      </c>
      <c r="G67" s="1">
        <v>90.9</v>
      </c>
    </row>
    <row r="68">
      <c r="A68" s="66" t="s">
        <v>31</v>
      </c>
      <c r="B68" s="7">
        <v>60.0</v>
      </c>
      <c r="C68" s="7">
        <v>80.0</v>
      </c>
      <c r="D68" s="12">
        <v>100.0</v>
      </c>
      <c r="E68" s="1">
        <v>80.0</v>
      </c>
      <c r="F68" s="1">
        <v>80.0</v>
      </c>
      <c r="G68" s="1">
        <v>80.0</v>
      </c>
    </row>
    <row r="69">
      <c r="A69" s="66" t="s">
        <v>37</v>
      </c>
      <c r="B69" s="12">
        <v>100.0</v>
      </c>
      <c r="C69" s="12">
        <v>100.0</v>
      </c>
      <c r="D69" s="12">
        <v>100.0</v>
      </c>
      <c r="E69" s="1">
        <v>77.77</v>
      </c>
      <c r="F69" s="1">
        <v>100.0</v>
      </c>
      <c r="G69" s="1">
        <v>100.0</v>
      </c>
    </row>
    <row r="70">
      <c r="A70" s="66" t="s">
        <v>39</v>
      </c>
      <c r="B70" s="7">
        <v>80.0</v>
      </c>
      <c r="C70" s="7">
        <v>88.57</v>
      </c>
      <c r="D70" s="7">
        <v>94.28</v>
      </c>
      <c r="E70" s="1">
        <v>62.85</v>
      </c>
      <c r="F70" s="1">
        <v>68.57</v>
      </c>
      <c r="G70" s="1">
        <v>80.0</v>
      </c>
    </row>
    <row r="71">
      <c r="A71" s="66" t="s">
        <v>43</v>
      </c>
      <c r="B71" s="7">
        <v>70.96</v>
      </c>
      <c r="C71" s="7">
        <v>77.41</v>
      </c>
      <c r="D71" s="7">
        <v>83.87</v>
      </c>
      <c r="E71" s="1">
        <v>64.51</v>
      </c>
      <c r="F71" s="1">
        <v>83.87</v>
      </c>
      <c r="G71" s="1">
        <v>83.87</v>
      </c>
    </row>
    <row r="72">
      <c r="A72" s="66" t="s">
        <v>45</v>
      </c>
      <c r="B72" s="7">
        <v>50.0</v>
      </c>
      <c r="C72" s="7">
        <v>65.0</v>
      </c>
      <c r="D72" s="7">
        <v>60.0</v>
      </c>
      <c r="E72" s="1">
        <v>50.0</v>
      </c>
      <c r="F72" s="1">
        <v>55.0</v>
      </c>
      <c r="G72" s="1">
        <v>60.0</v>
      </c>
    </row>
    <row r="73">
      <c r="A73" s="66" t="s">
        <v>47</v>
      </c>
      <c r="B73" s="7">
        <v>76.92</v>
      </c>
      <c r="C73" s="7">
        <v>92.3</v>
      </c>
      <c r="D73" s="7">
        <v>92.3</v>
      </c>
      <c r="E73" s="1">
        <v>69.23</v>
      </c>
      <c r="F73" s="1">
        <v>84.61</v>
      </c>
      <c r="G73" s="1">
        <v>84.61</v>
      </c>
    </row>
    <row r="74">
      <c r="A74" s="66" t="s">
        <v>59</v>
      </c>
      <c r="B74" s="7">
        <v>73.68</v>
      </c>
      <c r="C74" s="12">
        <v>84.21</v>
      </c>
      <c r="D74" s="12">
        <v>84.21</v>
      </c>
      <c r="E74" s="1">
        <v>68.42</v>
      </c>
      <c r="F74" s="1">
        <v>78.94</v>
      </c>
      <c r="G74" s="1">
        <v>84.21</v>
      </c>
    </row>
    <row r="75">
      <c r="A75" s="66" t="s">
        <v>62</v>
      </c>
      <c r="B75" s="7">
        <v>70.37</v>
      </c>
      <c r="C75" s="7">
        <v>77.77</v>
      </c>
      <c r="D75" s="12">
        <v>81.48</v>
      </c>
      <c r="E75" s="1">
        <v>55.55</v>
      </c>
      <c r="F75" s="1">
        <v>59.25</v>
      </c>
      <c r="G75" s="1">
        <v>66.66</v>
      </c>
    </row>
    <row r="76">
      <c r="A76" s="67" t="s">
        <v>66</v>
      </c>
      <c r="B76" s="19">
        <v>41.66</v>
      </c>
      <c r="C76" s="19">
        <v>66.66</v>
      </c>
      <c r="D76" s="24">
        <v>66.66</v>
      </c>
      <c r="E76" s="1">
        <v>58.33</v>
      </c>
      <c r="F76" s="1">
        <v>58.33</v>
      </c>
      <c r="G76" s="1">
        <v>58.33</v>
      </c>
    </row>
    <row r="77">
      <c r="A77" s="67" t="s">
        <v>68</v>
      </c>
      <c r="B77" s="19">
        <v>57.14</v>
      </c>
      <c r="C77" s="19">
        <v>71.42</v>
      </c>
      <c r="D77" s="19">
        <v>71.42</v>
      </c>
      <c r="E77" s="1">
        <v>71.42</v>
      </c>
      <c r="F77" s="1">
        <v>71.42</v>
      </c>
      <c r="G77" s="1">
        <v>71.42</v>
      </c>
    </row>
    <row r="78">
      <c r="A78" s="67" t="s">
        <v>70</v>
      </c>
      <c r="B78" s="19">
        <v>54.54</v>
      </c>
      <c r="C78" s="19">
        <v>54.54</v>
      </c>
      <c r="D78" s="19">
        <v>54.54</v>
      </c>
      <c r="E78" s="1">
        <v>81.81</v>
      </c>
      <c r="F78" s="1">
        <v>72.72</v>
      </c>
      <c r="G78" s="1">
        <v>72.72</v>
      </c>
    </row>
    <row r="79">
      <c r="A79" s="67" t="s">
        <v>72</v>
      </c>
      <c r="B79" s="19">
        <v>40.0</v>
      </c>
      <c r="C79" s="19">
        <v>80.0</v>
      </c>
      <c r="D79" s="19">
        <v>80.0</v>
      </c>
      <c r="E79" s="1">
        <v>60.0</v>
      </c>
      <c r="F79" s="1">
        <v>60.0</v>
      </c>
      <c r="G79" s="1">
        <v>40.0</v>
      </c>
    </row>
    <row r="80">
      <c r="A80" s="67" t="s">
        <v>73</v>
      </c>
      <c r="B80" s="19">
        <v>100.0</v>
      </c>
      <c r="C80" s="19">
        <v>100.0</v>
      </c>
      <c r="D80" s="19">
        <v>100.0</v>
      </c>
      <c r="E80" s="1">
        <v>75.0</v>
      </c>
      <c r="F80" s="1">
        <v>100.0</v>
      </c>
      <c r="G80" s="1">
        <v>100.0</v>
      </c>
    </row>
    <row r="81">
      <c r="A81" s="67" t="s">
        <v>74</v>
      </c>
      <c r="B81" s="19">
        <v>85.71</v>
      </c>
      <c r="C81" s="19">
        <v>100.0</v>
      </c>
      <c r="D81" s="19">
        <v>100.0</v>
      </c>
      <c r="E81" s="1">
        <v>42.85</v>
      </c>
      <c r="F81" s="1">
        <v>71.42</v>
      </c>
      <c r="G81" s="1">
        <v>71.42</v>
      </c>
    </row>
    <row r="82">
      <c r="A82" s="34" t="s">
        <v>75</v>
      </c>
      <c r="B82" s="36">
        <f t="shared" ref="B82:G82" si="11">AVERAGE(B61:B81)</f>
        <v>68.31428571</v>
      </c>
      <c r="C82" s="36">
        <f t="shared" si="11"/>
        <v>78.79428571</v>
      </c>
      <c r="D82" s="36">
        <f t="shared" si="11"/>
        <v>81.97142857</v>
      </c>
      <c r="E82" s="36">
        <f t="shared" si="11"/>
        <v>59.49666667</v>
      </c>
      <c r="F82" s="36">
        <f t="shared" si="11"/>
        <v>70.99285714</v>
      </c>
      <c r="G82" s="36">
        <f t="shared" si="11"/>
        <v>73.20047619</v>
      </c>
    </row>
    <row r="83">
      <c r="A83" s="39" t="s">
        <v>77</v>
      </c>
      <c r="B83" s="36">
        <f t="shared" ref="B83:G83" si="12">AVERAGE(B61:B66,B74:B81)</f>
        <v>64.70142857</v>
      </c>
      <c r="C83" s="36">
        <f t="shared" si="12"/>
        <v>76.39928571</v>
      </c>
      <c r="D83" s="36">
        <f t="shared" si="12"/>
        <v>79.22428571</v>
      </c>
      <c r="E83" s="36">
        <f t="shared" si="12"/>
        <v>54.51857143</v>
      </c>
      <c r="F83" s="36">
        <f t="shared" si="12"/>
        <v>66.27857143</v>
      </c>
      <c r="G83" s="36">
        <f t="shared" si="12"/>
        <v>68.41642857</v>
      </c>
    </row>
    <row r="84">
      <c r="A84" s="39" t="s">
        <v>78</v>
      </c>
      <c r="B84" s="36">
        <f t="shared" ref="B84:G84" si="13">AVERAGE(B67:B74)</f>
        <v>75.3075</v>
      </c>
      <c r="C84" s="36">
        <f t="shared" si="13"/>
        <v>83.6625</v>
      </c>
      <c r="D84" s="35">
        <f t="shared" si="13"/>
        <v>87.05875</v>
      </c>
      <c r="E84" s="36">
        <f t="shared" si="13"/>
        <v>69.32375</v>
      </c>
      <c r="F84" s="36">
        <f t="shared" si="13"/>
        <v>80.23625</v>
      </c>
      <c r="G84" s="36">
        <f t="shared" si="13"/>
        <v>82.94875</v>
      </c>
    </row>
    <row r="85">
      <c r="A85" s="39" t="s">
        <v>79</v>
      </c>
      <c r="B85" s="36">
        <f t="shared" ref="B85:G85" si="14">AVERAGE(B61,B64:B69,B72:B73)</f>
        <v>72.00444444</v>
      </c>
      <c r="C85" s="36">
        <f t="shared" si="14"/>
        <v>80.45555556</v>
      </c>
      <c r="D85" s="35">
        <f t="shared" si="14"/>
        <v>83.60444444</v>
      </c>
      <c r="E85" s="36">
        <f t="shared" si="14"/>
        <v>60.68777778</v>
      </c>
      <c r="F85" s="36">
        <f t="shared" si="14"/>
        <v>72.64777778</v>
      </c>
      <c r="G85" s="36">
        <f t="shared" si="14"/>
        <v>75.39777778</v>
      </c>
    </row>
    <row r="86">
      <c r="A86" s="39" t="s">
        <v>80</v>
      </c>
      <c r="B86" s="36">
        <f t="shared" ref="B86:G86" si="15">AVERAGE(B62:B63,B70:B71,B74:B75)</f>
        <v>67.91833333</v>
      </c>
      <c r="C86" s="36">
        <f t="shared" si="15"/>
        <v>76.32666667</v>
      </c>
      <c r="D86" s="35">
        <f t="shared" si="15"/>
        <v>82.72333333</v>
      </c>
      <c r="E86" s="36">
        <f t="shared" si="15"/>
        <v>52.305</v>
      </c>
      <c r="F86" s="36">
        <f t="shared" si="15"/>
        <v>67.18833333</v>
      </c>
      <c r="G86" s="36">
        <f t="shared" si="15"/>
        <v>74.12333333</v>
      </c>
    </row>
    <row r="87">
      <c r="A87" s="29"/>
      <c r="B87" s="53" t="s">
        <v>101</v>
      </c>
    </row>
    <row r="88">
      <c r="A88" s="34" t="s">
        <v>75</v>
      </c>
      <c r="B88" s="7">
        <f t="shared" ref="B88:G88" si="16">AVERAGE(B26,B54,B82)</f>
        <v>72.86087302</v>
      </c>
      <c r="C88" s="7">
        <f t="shared" si="16"/>
        <v>75.93333333</v>
      </c>
      <c r="D88" s="7">
        <f t="shared" si="16"/>
        <v>77.76079365</v>
      </c>
      <c r="E88" s="7">
        <f t="shared" si="16"/>
        <v>69.55888889</v>
      </c>
      <c r="F88" s="7">
        <f t="shared" si="16"/>
        <v>73.7215873</v>
      </c>
      <c r="G88" s="7">
        <f t="shared" si="16"/>
        <v>74.29825397</v>
      </c>
    </row>
    <row r="89">
      <c r="A89" s="39" t="s">
        <v>77</v>
      </c>
      <c r="B89" s="7">
        <f t="shared" ref="B89:G89" si="17">AVERAGE(B27,B55,B83)</f>
        <v>71.98053571</v>
      </c>
      <c r="C89" s="7">
        <f t="shared" si="17"/>
        <v>75.24690476</v>
      </c>
      <c r="D89" s="7">
        <f t="shared" si="17"/>
        <v>77.07904762</v>
      </c>
      <c r="E89" s="7">
        <f t="shared" si="17"/>
        <v>67.77857143</v>
      </c>
      <c r="F89" s="7">
        <f t="shared" si="17"/>
        <v>72.27142857</v>
      </c>
      <c r="G89" s="7">
        <f t="shared" si="17"/>
        <v>72.82047619</v>
      </c>
    </row>
    <row r="90">
      <c r="A90" s="39" t="s">
        <v>78</v>
      </c>
      <c r="B90" s="7">
        <f t="shared" ref="B90:G90" si="18">AVERAGE(B28,B56,B84)</f>
        <v>74.655</v>
      </c>
      <c r="C90" s="7">
        <f t="shared" si="18"/>
        <v>77.15583333</v>
      </c>
      <c r="D90" s="12">
        <f t="shared" si="18"/>
        <v>78.77291667</v>
      </c>
      <c r="E90" s="7">
        <f t="shared" si="18"/>
        <v>72.92916667</v>
      </c>
      <c r="F90" s="7">
        <f t="shared" si="18"/>
        <v>76.40791667</v>
      </c>
      <c r="G90" s="7">
        <f t="shared" si="18"/>
        <v>77.24416667</v>
      </c>
    </row>
    <row r="91">
      <c r="A91" s="39" t="s">
        <v>79</v>
      </c>
      <c r="B91" s="7">
        <f t="shared" ref="B91:G91" si="19">AVERAGE(B29,B57,B85)</f>
        <v>73.46416667</v>
      </c>
      <c r="C91" s="7">
        <f t="shared" si="19"/>
        <v>77.3937037</v>
      </c>
      <c r="D91" s="12">
        <f t="shared" si="19"/>
        <v>79.04851852</v>
      </c>
      <c r="E91" s="7">
        <f t="shared" si="19"/>
        <v>69.00555556</v>
      </c>
      <c r="F91" s="7">
        <f t="shared" si="19"/>
        <v>73.36555556</v>
      </c>
      <c r="G91" s="7">
        <f t="shared" si="19"/>
        <v>73.78185185</v>
      </c>
    </row>
    <row r="92">
      <c r="A92" s="39" t="s">
        <v>80</v>
      </c>
      <c r="B92" s="7">
        <f t="shared" ref="B92:G92" si="20">AVERAGE(B30,B58,B86)</f>
        <v>72.81944444</v>
      </c>
      <c r="C92" s="7">
        <f t="shared" si="20"/>
        <v>75.40444444</v>
      </c>
      <c r="D92" s="12">
        <f t="shared" si="20"/>
        <v>77.99055556</v>
      </c>
      <c r="E92" s="7">
        <f t="shared" si="20"/>
        <v>68.10444444</v>
      </c>
      <c r="F92" s="7">
        <f t="shared" si="20"/>
        <v>72.64722222</v>
      </c>
      <c r="G92" s="7">
        <f t="shared" si="20"/>
        <v>75.03111111</v>
      </c>
    </row>
  </sheetData>
  <mergeCells count="8">
    <mergeCell ref="A3:A4"/>
    <mergeCell ref="B3:G3"/>
    <mergeCell ref="A31:A32"/>
    <mergeCell ref="B31:G31"/>
    <mergeCell ref="A59:A60"/>
    <mergeCell ref="B59:G59"/>
    <mergeCell ref="H84:I86"/>
    <mergeCell ref="B87:G8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16.0"/>
    <col customWidth="1" min="4" max="4" width="17.13"/>
    <col customWidth="1" min="5" max="5" width="15.88"/>
    <col customWidth="1" min="6" max="6" width="15.25"/>
    <col customWidth="1" min="7" max="7" width="16.13"/>
  </cols>
  <sheetData>
    <row r="3">
      <c r="A3" s="2" t="s">
        <v>1</v>
      </c>
      <c r="B3" s="53" t="s">
        <v>121</v>
      </c>
    </row>
    <row r="4">
      <c r="B4" s="71" t="s">
        <v>122</v>
      </c>
      <c r="C4" s="71" t="s">
        <v>123</v>
      </c>
      <c r="D4" s="71" t="s">
        <v>124</v>
      </c>
      <c r="E4" s="5" t="s">
        <v>108</v>
      </c>
      <c r="F4" s="5" t="s">
        <v>109</v>
      </c>
      <c r="G4" s="5" t="s">
        <v>110</v>
      </c>
    </row>
    <row r="5">
      <c r="A5" s="66" t="s">
        <v>10</v>
      </c>
      <c r="B5" s="57">
        <v>89.67</v>
      </c>
      <c r="C5" s="57">
        <v>90.21</v>
      </c>
      <c r="D5" s="57">
        <v>92.47</v>
      </c>
      <c r="E5" s="19">
        <v>85.77</v>
      </c>
      <c r="F5" s="1">
        <v>85.95</v>
      </c>
      <c r="G5" s="1">
        <v>85.63</v>
      </c>
    </row>
    <row r="6">
      <c r="A6" s="66" t="s">
        <v>11</v>
      </c>
      <c r="B6" s="57">
        <v>80.29</v>
      </c>
      <c r="C6" s="57">
        <v>81.94</v>
      </c>
      <c r="D6" s="57">
        <v>83.14</v>
      </c>
      <c r="E6" s="19">
        <v>82.28</v>
      </c>
      <c r="F6" s="1">
        <v>82.66</v>
      </c>
      <c r="G6" s="1">
        <v>81.59</v>
      </c>
    </row>
    <row r="7">
      <c r="A7" s="66" t="s">
        <v>12</v>
      </c>
      <c r="B7" s="57">
        <v>84.1</v>
      </c>
      <c r="C7" s="57">
        <v>85.51</v>
      </c>
      <c r="D7" s="57">
        <v>85.51</v>
      </c>
      <c r="E7" s="19">
        <v>80.15</v>
      </c>
      <c r="F7" s="1">
        <v>80.15</v>
      </c>
      <c r="G7" s="1">
        <v>80.05</v>
      </c>
    </row>
    <row r="8">
      <c r="A8" s="66" t="s">
        <v>14</v>
      </c>
      <c r="B8" s="57">
        <v>83.06</v>
      </c>
      <c r="C8" s="57">
        <v>83.06</v>
      </c>
      <c r="D8" s="57">
        <v>84.49</v>
      </c>
      <c r="E8" s="19">
        <v>84.47</v>
      </c>
      <c r="F8" s="1">
        <v>84.04</v>
      </c>
      <c r="G8" s="1">
        <v>84.19</v>
      </c>
    </row>
    <row r="9">
      <c r="A9" s="66" t="s">
        <v>15</v>
      </c>
      <c r="B9" s="57">
        <v>84.17</v>
      </c>
      <c r="C9" s="57">
        <v>84.27</v>
      </c>
      <c r="D9" s="57">
        <v>84.9</v>
      </c>
      <c r="E9" s="19">
        <v>83.08</v>
      </c>
      <c r="F9" s="1">
        <v>82.86</v>
      </c>
      <c r="G9" s="1">
        <v>82.9</v>
      </c>
    </row>
    <row r="10">
      <c r="A10" s="66" t="s">
        <v>16</v>
      </c>
      <c r="B10" s="57">
        <v>78.84</v>
      </c>
      <c r="C10" s="57">
        <v>84.13</v>
      </c>
      <c r="D10" s="57">
        <v>84.25</v>
      </c>
      <c r="E10" s="19">
        <v>83.05</v>
      </c>
      <c r="F10" s="1">
        <v>83.0</v>
      </c>
      <c r="G10" s="1">
        <v>83.0</v>
      </c>
    </row>
    <row r="11">
      <c r="A11" s="66" t="s">
        <v>25</v>
      </c>
      <c r="B11" s="57">
        <v>85.02</v>
      </c>
      <c r="C11" s="57">
        <v>84.93</v>
      </c>
      <c r="D11" s="57">
        <v>83.87</v>
      </c>
      <c r="E11" s="19">
        <v>84.54</v>
      </c>
      <c r="F11" s="1">
        <v>84.54</v>
      </c>
      <c r="G11" s="1">
        <v>84.38</v>
      </c>
    </row>
    <row r="12">
      <c r="A12" s="66" t="s">
        <v>31</v>
      </c>
      <c r="B12" s="57">
        <v>80.99</v>
      </c>
      <c r="C12" s="57">
        <v>81.03</v>
      </c>
      <c r="D12" s="57">
        <v>80.36</v>
      </c>
      <c r="E12" s="19">
        <v>81.09</v>
      </c>
      <c r="F12" s="1">
        <v>81.09</v>
      </c>
      <c r="G12" s="1">
        <v>81.09</v>
      </c>
    </row>
    <row r="13">
      <c r="A13" s="66" t="s">
        <v>37</v>
      </c>
      <c r="B13" s="57">
        <v>81.77</v>
      </c>
      <c r="C13" s="57">
        <v>81.81</v>
      </c>
      <c r="D13" s="57">
        <v>82.7</v>
      </c>
      <c r="E13" s="19">
        <v>82.54</v>
      </c>
      <c r="F13" s="1">
        <v>82.95</v>
      </c>
      <c r="G13" s="1">
        <v>82.91</v>
      </c>
    </row>
    <row r="14">
      <c r="A14" s="66" t="s">
        <v>39</v>
      </c>
      <c r="B14" s="57">
        <v>83.81</v>
      </c>
      <c r="C14" s="57">
        <v>84.13</v>
      </c>
      <c r="D14" s="57">
        <v>84.08</v>
      </c>
      <c r="E14" s="19">
        <v>84.09</v>
      </c>
      <c r="F14" s="1">
        <v>83.8</v>
      </c>
      <c r="G14" s="1">
        <v>83.42</v>
      </c>
    </row>
    <row r="15">
      <c r="A15" s="66" t="s">
        <v>43</v>
      </c>
      <c r="B15" s="57">
        <v>82.33</v>
      </c>
      <c r="C15" s="57">
        <v>82.26</v>
      </c>
      <c r="D15" s="57">
        <v>81.93</v>
      </c>
      <c r="E15" s="19">
        <v>83.36</v>
      </c>
      <c r="F15" s="1">
        <v>83.54</v>
      </c>
      <c r="G15" s="1">
        <v>83.04</v>
      </c>
    </row>
    <row r="16">
      <c r="A16" s="66" t="s">
        <v>45</v>
      </c>
      <c r="B16" s="57">
        <v>82.51</v>
      </c>
      <c r="C16" s="57">
        <v>82.71</v>
      </c>
      <c r="D16" s="57">
        <v>82.37</v>
      </c>
      <c r="E16" s="19">
        <v>80.91</v>
      </c>
      <c r="F16" s="1">
        <v>80.91</v>
      </c>
      <c r="G16" s="1">
        <v>81.8</v>
      </c>
    </row>
    <row r="17">
      <c r="A17" s="66" t="s">
        <v>47</v>
      </c>
      <c r="B17" s="57">
        <v>84.92</v>
      </c>
      <c r="C17" s="57">
        <v>84.12</v>
      </c>
      <c r="D17" s="57">
        <v>83.43</v>
      </c>
      <c r="E17" s="19">
        <v>81.83</v>
      </c>
      <c r="F17" s="1">
        <v>81.83</v>
      </c>
      <c r="G17" s="1">
        <v>81.62</v>
      </c>
    </row>
    <row r="18">
      <c r="A18" s="66" t="s">
        <v>59</v>
      </c>
      <c r="B18" s="57">
        <v>81.3</v>
      </c>
      <c r="C18" s="57">
        <v>81.8</v>
      </c>
      <c r="D18" s="57">
        <v>81.32</v>
      </c>
      <c r="E18" s="19">
        <v>80.75</v>
      </c>
      <c r="F18" s="1">
        <v>80.46</v>
      </c>
      <c r="G18" s="1">
        <v>80.22</v>
      </c>
    </row>
    <row r="19">
      <c r="A19" s="66" t="s">
        <v>62</v>
      </c>
      <c r="B19" s="57">
        <v>84.18</v>
      </c>
      <c r="C19" s="57">
        <v>84.17</v>
      </c>
      <c r="D19" s="57">
        <v>85.22</v>
      </c>
      <c r="E19" s="19">
        <v>83.48</v>
      </c>
      <c r="F19" s="1">
        <v>84.16</v>
      </c>
      <c r="G19" s="1">
        <v>84.81</v>
      </c>
    </row>
    <row r="20">
      <c r="A20" s="67" t="s">
        <v>66</v>
      </c>
      <c r="B20" s="57">
        <v>84.51</v>
      </c>
      <c r="C20" s="57">
        <v>84.51</v>
      </c>
      <c r="D20" s="57">
        <v>84.51</v>
      </c>
      <c r="E20" s="19">
        <v>83.27</v>
      </c>
      <c r="F20" s="1">
        <v>84.51</v>
      </c>
      <c r="G20" s="1">
        <v>84.51</v>
      </c>
    </row>
    <row r="21">
      <c r="A21" s="67" t="s">
        <v>68</v>
      </c>
      <c r="B21" s="57">
        <v>82.85</v>
      </c>
      <c r="C21" s="57">
        <v>82.85</v>
      </c>
      <c r="D21" s="57">
        <v>83.24</v>
      </c>
      <c r="E21" s="19">
        <v>83.63</v>
      </c>
      <c r="F21" s="1">
        <v>83.63</v>
      </c>
      <c r="G21" s="1">
        <v>83.63</v>
      </c>
    </row>
    <row r="22">
      <c r="A22" s="67" t="s">
        <v>70</v>
      </c>
      <c r="B22" s="57">
        <v>81.59</v>
      </c>
      <c r="C22" s="57">
        <v>81.37</v>
      </c>
      <c r="D22" s="57">
        <v>81.37</v>
      </c>
      <c r="E22" s="19">
        <v>80.21</v>
      </c>
      <c r="F22" s="1">
        <v>80.21</v>
      </c>
      <c r="G22" s="1">
        <v>80.46</v>
      </c>
    </row>
    <row r="23">
      <c r="A23" s="67" t="s">
        <v>72</v>
      </c>
      <c r="B23" s="57">
        <v>78.75</v>
      </c>
      <c r="C23" s="57">
        <v>78.75</v>
      </c>
      <c r="D23" s="57">
        <v>79.04</v>
      </c>
      <c r="E23" s="19">
        <v>79.95</v>
      </c>
      <c r="F23" s="1">
        <v>79.95</v>
      </c>
      <c r="G23" s="1">
        <v>79.95</v>
      </c>
    </row>
    <row r="24">
      <c r="A24" s="67" t="s">
        <v>73</v>
      </c>
      <c r="B24" s="57">
        <v>85.55</v>
      </c>
      <c r="C24" s="57">
        <v>85.55</v>
      </c>
      <c r="D24" s="57">
        <v>85.55</v>
      </c>
      <c r="E24" s="19">
        <v>87.69</v>
      </c>
      <c r="F24" s="1">
        <v>87.07</v>
      </c>
      <c r="G24" s="1">
        <v>87.07</v>
      </c>
    </row>
    <row r="25">
      <c r="A25" s="67" t="s">
        <v>74</v>
      </c>
      <c r="B25" s="57">
        <v>83.54</v>
      </c>
      <c r="C25" s="57">
        <v>83.54</v>
      </c>
      <c r="D25" s="57">
        <v>83.54</v>
      </c>
      <c r="E25" s="19">
        <v>83.28</v>
      </c>
      <c r="F25" s="1">
        <v>83.28</v>
      </c>
      <c r="G25" s="1">
        <v>82.43</v>
      </c>
    </row>
    <row r="26">
      <c r="A26" s="34" t="s">
        <v>75</v>
      </c>
      <c r="B26" s="36">
        <f t="shared" ref="B26:G26" si="1">AVERAGE(B5:B25)</f>
        <v>83.03571429</v>
      </c>
      <c r="C26" s="36">
        <f t="shared" si="1"/>
        <v>83.45952381</v>
      </c>
      <c r="D26" s="36">
        <f t="shared" si="1"/>
        <v>83.68047619</v>
      </c>
      <c r="E26" s="36">
        <f t="shared" si="1"/>
        <v>82.82952381</v>
      </c>
      <c r="F26" s="36">
        <f t="shared" si="1"/>
        <v>82.8852381</v>
      </c>
      <c r="G26" s="36">
        <f t="shared" si="1"/>
        <v>82.7952381</v>
      </c>
    </row>
    <row r="27">
      <c r="A27" s="39" t="s">
        <v>77</v>
      </c>
      <c r="B27" s="36">
        <f t="shared" ref="B27:G27" si="2">AVERAGE(B5:B10,B18:B25)</f>
        <v>83.02857143</v>
      </c>
      <c r="C27" s="36">
        <f t="shared" si="2"/>
        <v>83.69</v>
      </c>
      <c r="D27" s="36">
        <f t="shared" si="2"/>
        <v>84.18214286</v>
      </c>
      <c r="E27" s="36">
        <f t="shared" si="2"/>
        <v>82.93285714</v>
      </c>
      <c r="F27" s="36">
        <f t="shared" si="2"/>
        <v>82.995</v>
      </c>
      <c r="G27" s="36">
        <f t="shared" si="2"/>
        <v>82.88857143</v>
      </c>
    </row>
    <row r="28">
      <c r="A28" s="39" t="s">
        <v>78</v>
      </c>
      <c r="B28" s="36">
        <f t="shared" ref="B28:G28" si="3">AVERAGE(B11:B18)</f>
        <v>82.83125</v>
      </c>
      <c r="C28" s="36">
        <f t="shared" si="3"/>
        <v>82.84875</v>
      </c>
      <c r="D28" s="36">
        <f t="shared" si="3"/>
        <v>82.5075</v>
      </c>
      <c r="E28" s="36">
        <f t="shared" si="3"/>
        <v>82.38875</v>
      </c>
      <c r="F28" s="36">
        <f t="shared" si="3"/>
        <v>82.39</v>
      </c>
      <c r="G28" s="36">
        <f t="shared" si="3"/>
        <v>82.31</v>
      </c>
    </row>
    <row r="29">
      <c r="A29" s="39" t="s">
        <v>79</v>
      </c>
      <c r="B29" s="36">
        <f t="shared" ref="B29:G29" si="4">AVERAGE(B5,B8:B13,B16:B17)</f>
        <v>83.43888889</v>
      </c>
      <c r="C29" s="36">
        <f t="shared" si="4"/>
        <v>84.03</v>
      </c>
      <c r="D29" s="36">
        <f t="shared" si="4"/>
        <v>84.31555556</v>
      </c>
      <c r="E29" s="36">
        <f t="shared" si="4"/>
        <v>83.03111111</v>
      </c>
      <c r="F29" s="36">
        <f t="shared" si="4"/>
        <v>83.01888889</v>
      </c>
      <c r="G29" s="36">
        <f t="shared" si="4"/>
        <v>83.05777778</v>
      </c>
    </row>
    <row r="30">
      <c r="A30" s="39" t="s">
        <v>80</v>
      </c>
      <c r="B30" s="36">
        <f t="shared" ref="B30:G30" si="5">AVERAGE(B6:B7,B14:B15,B18:B19)</f>
        <v>82.66833333</v>
      </c>
      <c r="C30" s="36">
        <f t="shared" si="5"/>
        <v>83.30166667</v>
      </c>
      <c r="D30" s="36">
        <f t="shared" si="5"/>
        <v>83.53333333</v>
      </c>
      <c r="E30" s="36">
        <f t="shared" si="5"/>
        <v>82.35166667</v>
      </c>
      <c r="F30" s="36">
        <f t="shared" si="5"/>
        <v>82.46166667</v>
      </c>
      <c r="G30" s="36">
        <f t="shared" si="5"/>
        <v>82.18833333</v>
      </c>
    </row>
    <row r="31">
      <c r="A31" s="2" t="s">
        <v>1</v>
      </c>
      <c r="B31" s="53" t="s">
        <v>3</v>
      </c>
    </row>
    <row r="32">
      <c r="B32" s="71" t="s">
        <v>122</v>
      </c>
      <c r="C32" s="71" t="s">
        <v>123</v>
      </c>
      <c r="D32" s="71" t="s">
        <v>124</v>
      </c>
      <c r="E32" s="5" t="s">
        <v>108</v>
      </c>
      <c r="F32" s="5" t="s">
        <v>109</v>
      </c>
      <c r="G32" s="5" t="s">
        <v>110</v>
      </c>
    </row>
    <row r="33">
      <c r="A33" s="66" t="s">
        <v>10</v>
      </c>
      <c r="B33" s="57">
        <v>80.34</v>
      </c>
      <c r="C33" s="57">
        <v>84.22</v>
      </c>
      <c r="D33" s="58">
        <v>89.62</v>
      </c>
      <c r="E33" s="68" t="s">
        <v>132</v>
      </c>
      <c r="F33" s="19">
        <v>65.93</v>
      </c>
      <c r="G33" s="19">
        <v>65.89</v>
      </c>
    </row>
    <row r="34">
      <c r="A34" s="66" t="s">
        <v>11</v>
      </c>
      <c r="B34" s="57">
        <v>65.17</v>
      </c>
      <c r="C34" s="57">
        <v>68.48</v>
      </c>
      <c r="D34" s="58">
        <v>63.1</v>
      </c>
      <c r="E34" s="68" t="s">
        <v>133</v>
      </c>
      <c r="F34" s="19">
        <v>68.75</v>
      </c>
      <c r="G34" s="19">
        <v>68.08</v>
      </c>
    </row>
    <row r="35">
      <c r="A35" s="66" t="s">
        <v>12</v>
      </c>
      <c r="B35" s="58">
        <v>73.82</v>
      </c>
      <c r="C35" s="58">
        <v>75.88</v>
      </c>
      <c r="D35" s="58">
        <v>75.88</v>
      </c>
      <c r="E35" s="68" t="s">
        <v>134</v>
      </c>
      <c r="F35" s="19">
        <v>67.44</v>
      </c>
      <c r="G35" s="19">
        <v>67.44</v>
      </c>
    </row>
    <row r="36">
      <c r="A36" s="66" t="s">
        <v>14</v>
      </c>
      <c r="B36" s="58">
        <v>67.93</v>
      </c>
      <c r="C36" s="58">
        <v>67.93</v>
      </c>
      <c r="D36" s="57">
        <v>67.51</v>
      </c>
      <c r="E36" s="68" t="s">
        <v>135</v>
      </c>
      <c r="F36" s="19">
        <v>65.87</v>
      </c>
      <c r="G36" s="19">
        <v>63.01</v>
      </c>
    </row>
    <row r="37">
      <c r="A37" s="66" t="s">
        <v>15</v>
      </c>
      <c r="B37" s="57">
        <v>64.62</v>
      </c>
      <c r="C37" s="57">
        <v>64.62</v>
      </c>
      <c r="D37" s="57">
        <v>64.76</v>
      </c>
      <c r="E37" s="68" t="s">
        <v>136</v>
      </c>
      <c r="F37" s="19">
        <v>60.92</v>
      </c>
      <c r="G37" s="19">
        <v>56.92</v>
      </c>
    </row>
    <row r="38">
      <c r="A38" s="66" t="s">
        <v>16</v>
      </c>
      <c r="B38" s="58">
        <v>68.6</v>
      </c>
      <c r="C38" s="58">
        <v>72.5</v>
      </c>
      <c r="D38" s="58">
        <v>73.93</v>
      </c>
      <c r="E38" s="68" t="s">
        <v>137</v>
      </c>
      <c r="F38" s="19">
        <v>69.87</v>
      </c>
      <c r="G38" s="19">
        <v>69.87</v>
      </c>
    </row>
    <row r="39">
      <c r="A39" s="66" t="s">
        <v>25</v>
      </c>
      <c r="B39" s="57">
        <v>70.81</v>
      </c>
      <c r="C39" s="58">
        <v>70.81</v>
      </c>
      <c r="D39" s="58">
        <v>75.62</v>
      </c>
      <c r="E39" s="68" t="s">
        <v>138</v>
      </c>
      <c r="F39" s="19">
        <v>73.5</v>
      </c>
      <c r="G39" s="19">
        <v>73.5</v>
      </c>
    </row>
    <row r="40">
      <c r="A40" s="66" t="s">
        <v>31</v>
      </c>
      <c r="B40" s="57">
        <v>68.33</v>
      </c>
      <c r="C40" s="57">
        <v>68.11</v>
      </c>
      <c r="D40" s="57">
        <v>64.3</v>
      </c>
      <c r="E40" s="24">
        <v>55.19</v>
      </c>
      <c r="F40" s="19">
        <v>55.19</v>
      </c>
      <c r="G40" s="19">
        <v>55.19</v>
      </c>
    </row>
    <row r="41">
      <c r="A41" s="66" t="s">
        <v>37</v>
      </c>
      <c r="B41" s="58">
        <v>71.9</v>
      </c>
      <c r="C41" s="58">
        <v>71.18</v>
      </c>
      <c r="D41" s="58">
        <v>71.18</v>
      </c>
      <c r="E41" s="19">
        <v>76.82</v>
      </c>
      <c r="F41" s="19">
        <v>78.34</v>
      </c>
      <c r="G41" s="19">
        <v>74.29</v>
      </c>
    </row>
    <row r="42">
      <c r="A42" s="66" t="s">
        <v>39</v>
      </c>
      <c r="B42" s="57">
        <v>67.63</v>
      </c>
      <c r="C42" s="57">
        <v>66.25</v>
      </c>
      <c r="D42" s="57">
        <v>68.6</v>
      </c>
      <c r="E42" s="19">
        <v>65.62</v>
      </c>
      <c r="F42" s="19">
        <v>65.82</v>
      </c>
      <c r="G42" s="19">
        <v>65.96</v>
      </c>
    </row>
    <row r="43">
      <c r="A43" s="66" t="s">
        <v>43</v>
      </c>
      <c r="B43" s="57">
        <v>74.47</v>
      </c>
      <c r="C43" s="57">
        <v>73.86</v>
      </c>
      <c r="D43" s="57">
        <v>74.21</v>
      </c>
      <c r="E43" s="19">
        <v>72.92</v>
      </c>
      <c r="F43" s="19">
        <v>73.7</v>
      </c>
      <c r="G43" s="24">
        <v>73.67</v>
      </c>
    </row>
    <row r="44">
      <c r="A44" s="66" t="s">
        <v>45</v>
      </c>
      <c r="B44" s="57">
        <v>62.35</v>
      </c>
      <c r="C44" s="57">
        <v>63.45</v>
      </c>
      <c r="D44" s="57">
        <v>64.6</v>
      </c>
      <c r="E44" s="19">
        <v>59.46</v>
      </c>
      <c r="F44" s="19">
        <v>59.46</v>
      </c>
      <c r="G44" s="24">
        <v>58.27</v>
      </c>
    </row>
    <row r="45">
      <c r="A45" s="66" t="s">
        <v>47</v>
      </c>
      <c r="B45" s="57">
        <v>74.09</v>
      </c>
      <c r="C45" s="57">
        <v>70.59</v>
      </c>
      <c r="D45" s="57">
        <v>68.19</v>
      </c>
      <c r="E45" s="19">
        <v>63.62</v>
      </c>
      <c r="F45" s="19">
        <v>63.62</v>
      </c>
      <c r="G45" s="19">
        <v>63.12</v>
      </c>
    </row>
    <row r="46">
      <c r="A46" s="66" t="s">
        <v>59</v>
      </c>
      <c r="B46" s="57">
        <v>67.08</v>
      </c>
      <c r="C46" s="57">
        <v>64.17</v>
      </c>
      <c r="D46" s="57">
        <v>63.17</v>
      </c>
      <c r="E46" s="19">
        <v>65.13</v>
      </c>
      <c r="F46" s="19">
        <v>64.55</v>
      </c>
      <c r="G46" s="19">
        <v>65.42</v>
      </c>
    </row>
    <row r="47">
      <c r="A47" s="66" t="s">
        <v>62</v>
      </c>
      <c r="B47" s="57">
        <v>74.41</v>
      </c>
      <c r="C47" s="57">
        <v>73.96</v>
      </c>
      <c r="D47" s="57">
        <v>75.04</v>
      </c>
      <c r="E47" s="19">
        <v>67.47</v>
      </c>
      <c r="F47" s="19">
        <v>68.31</v>
      </c>
      <c r="G47" s="24">
        <v>71.3</v>
      </c>
    </row>
    <row r="48">
      <c r="A48" s="67" t="s">
        <v>66</v>
      </c>
      <c r="B48" s="57">
        <v>74.14</v>
      </c>
      <c r="C48" s="57">
        <v>74.14</v>
      </c>
      <c r="D48" s="57">
        <v>74.14</v>
      </c>
      <c r="E48" s="19">
        <v>73.71</v>
      </c>
      <c r="F48" s="19">
        <v>74.14</v>
      </c>
      <c r="G48" s="24">
        <v>74.14</v>
      </c>
    </row>
    <row r="49">
      <c r="A49" s="67" t="s">
        <v>68</v>
      </c>
      <c r="B49" s="57">
        <v>77.19</v>
      </c>
      <c r="C49" s="57">
        <v>77.19</v>
      </c>
      <c r="D49" s="57">
        <v>78.74</v>
      </c>
      <c r="E49" s="19">
        <v>78.74</v>
      </c>
      <c r="F49" s="19">
        <v>78.74</v>
      </c>
      <c r="G49" s="24">
        <v>78.74</v>
      </c>
    </row>
    <row r="50">
      <c r="A50" s="67" t="s">
        <v>70</v>
      </c>
      <c r="B50" s="57">
        <v>67.73</v>
      </c>
      <c r="C50" s="57">
        <v>67.73</v>
      </c>
      <c r="D50" s="57">
        <v>67.73</v>
      </c>
      <c r="E50" s="19">
        <v>61.7</v>
      </c>
      <c r="F50" s="19">
        <v>61.7</v>
      </c>
      <c r="G50" s="24">
        <v>62.91</v>
      </c>
    </row>
    <row r="51">
      <c r="A51" s="67" t="s">
        <v>72</v>
      </c>
      <c r="B51" s="57">
        <v>64.1</v>
      </c>
      <c r="C51" s="57">
        <v>64.1</v>
      </c>
      <c r="D51" s="57">
        <v>64.1</v>
      </c>
      <c r="E51" s="19">
        <v>58.1</v>
      </c>
      <c r="F51" s="19">
        <v>58.1</v>
      </c>
      <c r="G51" s="24">
        <v>58.1</v>
      </c>
    </row>
    <row r="52">
      <c r="A52" s="67" t="s">
        <v>73</v>
      </c>
      <c r="B52" s="57">
        <v>65.38</v>
      </c>
      <c r="C52" s="57">
        <v>65.38</v>
      </c>
      <c r="D52" s="57">
        <v>65.38</v>
      </c>
      <c r="E52" s="19">
        <v>68.66</v>
      </c>
      <c r="F52" s="19">
        <v>66.88</v>
      </c>
      <c r="G52" s="24">
        <v>66.88</v>
      </c>
    </row>
    <row r="53">
      <c r="A53" s="67" t="s">
        <v>74</v>
      </c>
      <c r="B53" s="57">
        <v>78.91</v>
      </c>
      <c r="C53" s="57">
        <v>78.91</v>
      </c>
      <c r="D53" s="57">
        <v>78.91</v>
      </c>
      <c r="E53" s="19">
        <v>81.11</v>
      </c>
      <c r="F53" s="19">
        <v>81.11</v>
      </c>
      <c r="G53" s="24">
        <v>80.23</v>
      </c>
    </row>
    <row r="54">
      <c r="A54" s="34" t="s">
        <v>75</v>
      </c>
      <c r="B54" s="36">
        <f t="shared" ref="B54:G54" si="6">AVERAGE(B33:B53)</f>
        <v>70.42857143</v>
      </c>
      <c r="C54" s="36">
        <f t="shared" si="6"/>
        <v>70.64095238</v>
      </c>
      <c r="D54" s="36">
        <f t="shared" si="6"/>
        <v>70.89095238</v>
      </c>
      <c r="E54" s="69">
        <f t="shared" si="6"/>
        <v>67.73214286</v>
      </c>
      <c r="F54" s="36">
        <f t="shared" si="6"/>
        <v>67.71142857</v>
      </c>
      <c r="G54" s="36">
        <f t="shared" si="6"/>
        <v>67.28238095</v>
      </c>
    </row>
    <row r="55">
      <c r="A55" s="39" t="s">
        <v>77</v>
      </c>
      <c r="B55" s="36">
        <f t="shared" ref="B55:G55" si="7">AVERAGE(B33:B38,B46:B53)</f>
        <v>70.67285714</v>
      </c>
      <c r="C55" s="36">
        <f t="shared" si="7"/>
        <v>71.37214286</v>
      </c>
      <c r="D55" s="36">
        <f t="shared" si="7"/>
        <v>71.57214286</v>
      </c>
      <c r="E55" s="69">
        <f t="shared" si="7"/>
        <v>69.3275</v>
      </c>
      <c r="F55" s="36">
        <f t="shared" si="7"/>
        <v>68.02214286</v>
      </c>
      <c r="G55" s="36">
        <f t="shared" si="7"/>
        <v>67.78071429</v>
      </c>
    </row>
    <row r="56">
      <c r="A56" s="39" t="s">
        <v>78</v>
      </c>
      <c r="B56" s="36">
        <f t="shared" ref="B56:G56" si="8">AVERAGE(B39:B46)</f>
        <v>69.5825</v>
      </c>
      <c r="C56" s="36">
        <f t="shared" si="8"/>
        <v>68.5525</v>
      </c>
      <c r="D56" s="36">
        <f t="shared" si="8"/>
        <v>68.73375</v>
      </c>
      <c r="E56" s="69">
        <f t="shared" si="8"/>
        <v>65.53714286</v>
      </c>
      <c r="F56" s="36">
        <f t="shared" si="8"/>
        <v>66.7725</v>
      </c>
      <c r="G56" s="36">
        <f t="shared" si="8"/>
        <v>66.1775</v>
      </c>
    </row>
    <row r="57">
      <c r="A57" s="39" t="s">
        <v>79</v>
      </c>
      <c r="B57" s="36">
        <f t="shared" ref="B57:G57" si="9">AVERAGE(B33,B36:B41,B44:B45)</f>
        <v>69.88555556</v>
      </c>
      <c r="C57" s="36">
        <f t="shared" si="9"/>
        <v>70.37888889</v>
      </c>
      <c r="D57" s="36">
        <f t="shared" si="9"/>
        <v>71.07888889</v>
      </c>
      <c r="E57" s="69">
        <f t="shared" si="9"/>
        <v>63.7725</v>
      </c>
      <c r="F57" s="36">
        <f t="shared" si="9"/>
        <v>65.85555556</v>
      </c>
      <c r="G57" s="36">
        <f t="shared" si="9"/>
        <v>64.45111111</v>
      </c>
    </row>
    <row r="58">
      <c r="A58" s="39" t="s">
        <v>80</v>
      </c>
      <c r="B58" s="36">
        <f t="shared" ref="B58:G58" si="10">AVERAGE(B34:B35,B42:B43,B46:B47)</f>
        <v>70.43</v>
      </c>
      <c r="C58" s="36">
        <f t="shared" si="10"/>
        <v>70.43333333</v>
      </c>
      <c r="D58" s="36">
        <f t="shared" si="10"/>
        <v>70</v>
      </c>
      <c r="E58" s="69">
        <f t="shared" si="10"/>
        <v>67.785</v>
      </c>
      <c r="F58" s="36">
        <f t="shared" si="10"/>
        <v>68.095</v>
      </c>
      <c r="G58" s="36">
        <f t="shared" si="10"/>
        <v>68.645</v>
      </c>
    </row>
    <row r="59">
      <c r="A59" s="2" t="s">
        <v>1</v>
      </c>
      <c r="B59" s="53" t="s">
        <v>4</v>
      </c>
    </row>
    <row r="60">
      <c r="B60" s="5" t="s">
        <v>122</v>
      </c>
      <c r="C60" s="5" t="s">
        <v>123</v>
      </c>
      <c r="D60" s="5" t="s">
        <v>124</v>
      </c>
      <c r="E60" s="5" t="s">
        <v>108</v>
      </c>
      <c r="F60" s="5" t="s">
        <v>109</v>
      </c>
      <c r="G60" s="5" t="s">
        <v>110</v>
      </c>
    </row>
    <row r="61">
      <c r="A61" s="66" t="s">
        <v>10</v>
      </c>
      <c r="B61" s="57">
        <v>100.0</v>
      </c>
      <c r="C61" s="57">
        <v>100.0</v>
      </c>
      <c r="D61" s="57">
        <v>100.0</v>
      </c>
      <c r="E61" s="19">
        <v>71.42</v>
      </c>
      <c r="F61" s="24">
        <v>71.42</v>
      </c>
      <c r="G61" s="1">
        <v>76.19</v>
      </c>
    </row>
    <row r="62">
      <c r="A62" s="66" t="s">
        <v>11</v>
      </c>
      <c r="B62" s="57">
        <v>70.0</v>
      </c>
      <c r="C62" s="57">
        <v>70.0</v>
      </c>
      <c r="D62" s="57">
        <v>85.0</v>
      </c>
      <c r="E62" s="19">
        <v>40.0</v>
      </c>
      <c r="F62" s="19">
        <v>55.0</v>
      </c>
      <c r="G62" s="1">
        <v>60.0</v>
      </c>
    </row>
    <row r="63">
      <c r="A63" s="66" t="s">
        <v>12</v>
      </c>
      <c r="B63" s="57">
        <v>75.0</v>
      </c>
      <c r="C63" s="57">
        <v>75.0</v>
      </c>
      <c r="D63" s="57">
        <v>75.0</v>
      </c>
      <c r="E63" s="19">
        <v>62.5</v>
      </c>
      <c r="F63" s="19">
        <v>62.5</v>
      </c>
      <c r="G63" s="1">
        <v>62.5</v>
      </c>
    </row>
    <row r="64">
      <c r="A64" s="66" t="s">
        <v>14</v>
      </c>
      <c r="B64" s="57">
        <v>75.0</v>
      </c>
      <c r="C64" s="57">
        <v>75.0</v>
      </c>
      <c r="D64" s="57">
        <v>75.0</v>
      </c>
      <c r="E64" s="19">
        <v>66.66</v>
      </c>
      <c r="F64" s="19">
        <v>66.66</v>
      </c>
      <c r="G64" s="1">
        <v>66.66</v>
      </c>
    </row>
    <row r="65">
      <c r="A65" s="66" t="s">
        <v>15</v>
      </c>
      <c r="B65" s="57">
        <v>86.66</v>
      </c>
      <c r="C65" s="57">
        <v>86.66</v>
      </c>
      <c r="D65" s="57">
        <v>86.66</v>
      </c>
      <c r="E65" s="19">
        <v>60.0</v>
      </c>
      <c r="F65" s="19">
        <v>60.0</v>
      </c>
      <c r="G65" s="1">
        <v>66.66</v>
      </c>
    </row>
    <row r="66">
      <c r="A66" s="66" t="s">
        <v>16</v>
      </c>
      <c r="B66" s="57">
        <v>66.66</v>
      </c>
      <c r="C66" s="57">
        <v>91.66</v>
      </c>
      <c r="D66" s="57">
        <v>91.66</v>
      </c>
      <c r="E66" s="19">
        <v>66.66</v>
      </c>
      <c r="F66" s="19">
        <v>66.66</v>
      </c>
      <c r="G66" s="1">
        <v>66.66</v>
      </c>
    </row>
    <row r="67">
      <c r="A67" s="66" t="s">
        <v>25</v>
      </c>
      <c r="B67" s="57">
        <v>90.9</v>
      </c>
      <c r="C67" s="57">
        <v>90.9</v>
      </c>
      <c r="D67" s="57">
        <v>90.9</v>
      </c>
      <c r="E67" s="19">
        <v>90.9</v>
      </c>
      <c r="F67" s="19">
        <v>90.9</v>
      </c>
      <c r="G67" s="1">
        <v>90.9</v>
      </c>
    </row>
    <row r="68">
      <c r="A68" s="66" t="s">
        <v>31</v>
      </c>
      <c r="B68" s="57">
        <v>80.0</v>
      </c>
      <c r="C68" s="57">
        <v>80.0</v>
      </c>
      <c r="D68" s="57">
        <v>100.0</v>
      </c>
      <c r="E68" s="19">
        <v>80.0</v>
      </c>
      <c r="F68" s="19">
        <v>80.0</v>
      </c>
      <c r="G68" s="1">
        <v>80.0</v>
      </c>
    </row>
    <row r="69">
      <c r="A69" s="66" t="s">
        <v>37</v>
      </c>
      <c r="B69" s="57">
        <v>100.0</v>
      </c>
      <c r="C69" s="57">
        <v>100.0</v>
      </c>
      <c r="D69" s="57">
        <v>100.0</v>
      </c>
      <c r="E69" s="19">
        <v>100.0</v>
      </c>
      <c r="F69" s="19">
        <v>100.0</v>
      </c>
      <c r="G69" s="1">
        <v>100.0</v>
      </c>
    </row>
    <row r="70">
      <c r="A70" s="66" t="s">
        <v>39</v>
      </c>
      <c r="B70" s="57">
        <v>82.85</v>
      </c>
      <c r="C70" s="57">
        <v>88.57</v>
      </c>
      <c r="D70" s="57">
        <v>88.57</v>
      </c>
      <c r="E70" s="19">
        <v>80.0</v>
      </c>
      <c r="F70" s="19">
        <v>82.85</v>
      </c>
      <c r="G70" s="1">
        <v>82.85</v>
      </c>
    </row>
    <row r="71">
      <c r="A71" s="66" t="s">
        <v>43</v>
      </c>
      <c r="B71" s="57">
        <v>80.64</v>
      </c>
      <c r="C71" s="57">
        <v>83.87</v>
      </c>
      <c r="D71" s="57">
        <v>87.09</v>
      </c>
      <c r="E71" s="19">
        <v>77.41</v>
      </c>
      <c r="F71" s="19">
        <v>77.41</v>
      </c>
      <c r="G71" s="1">
        <v>83.87</v>
      </c>
    </row>
    <row r="72">
      <c r="A72" s="66" t="s">
        <v>45</v>
      </c>
      <c r="B72" s="57">
        <v>75.0</v>
      </c>
      <c r="C72" s="57">
        <v>70.0</v>
      </c>
      <c r="D72" s="57">
        <v>75.0</v>
      </c>
      <c r="E72" s="19">
        <v>60.0</v>
      </c>
      <c r="F72" s="19">
        <v>60.0</v>
      </c>
      <c r="G72" s="1">
        <v>65.0</v>
      </c>
    </row>
    <row r="73">
      <c r="A73" s="66" t="s">
        <v>47</v>
      </c>
      <c r="B73" s="57">
        <v>84.61</v>
      </c>
      <c r="C73" s="57">
        <v>92.3</v>
      </c>
      <c r="D73" s="57">
        <v>100.0</v>
      </c>
      <c r="E73" s="19">
        <v>84.61</v>
      </c>
      <c r="F73" s="19">
        <v>84.61</v>
      </c>
      <c r="G73" s="1">
        <v>84.61</v>
      </c>
    </row>
    <row r="74">
      <c r="A74" s="66" t="s">
        <v>59</v>
      </c>
      <c r="B74" s="57">
        <v>78.94</v>
      </c>
      <c r="C74" s="57">
        <v>89.47</v>
      </c>
      <c r="D74" s="57">
        <v>94.73</v>
      </c>
      <c r="E74" s="19">
        <v>73.68</v>
      </c>
      <c r="F74" s="19">
        <v>78.94</v>
      </c>
      <c r="G74" s="1">
        <v>84.21</v>
      </c>
    </row>
    <row r="75">
      <c r="A75" s="66" t="s">
        <v>62</v>
      </c>
      <c r="B75" s="57">
        <v>70.37</v>
      </c>
      <c r="C75" s="57">
        <v>85.18</v>
      </c>
      <c r="D75" s="57">
        <v>85.18</v>
      </c>
      <c r="E75" s="19">
        <v>55.55</v>
      </c>
      <c r="F75" s="19">
        <v>55.55</v>
      </c>
      <c r="G75" s="1">
        <v>66.66</v>
      </c>
    </row>
    <row r="76">
      <c r="A76" s="67" t="s">
        <v>66</v>
      </c>
      <c r="B76" s="57">
        <v>58.33</v>
      </c>
      <c r="C76" s="57">
        <v>58.33</v>
      </c>
      <c r="D76" s="57">
        <v>58.33</v>
      </c>
      <c r="E76" s="19">
        <v>58.33</v>
      </c>
      <c r="F76" s="19">
        <v>58.33</v>
      </c>
      <c r="G76" s="1">
        <v>58.33</v>
      </c>
    </row>
    <row r="77">
      <c r="A77" s="67" t="s">
        <v>68</v>
      </c>
      <c r="B77" s="57">
        <v>71.42</v>
      </c>
      <c r="C77" s="57">
        <v>71.42</v>
      </c>
      <c r="D77" s="57">
        <v>71.42</v>
      </c>
      <c r="E77" s="19">
        <v>71.42</v>
      </c>
      <c r="F77" s="19">
        <v>71.42</v>
      </c>
      <c r="G77" s="1">
        <v>71.42</v>
      </c>
    </row>
    <row r="78">
      <c r="A78" s="67" t="s">
        <v>70</v>
      </c>
      <c r="B78" s="57">
        <v>63.63</v>
      </c>
      <c r="C78" s="57">
        <v>63.63</v>
      </c>
      <c r="D78" s="57">
        <v>63.63</v>
      </c>
      <c r="E78" s="19">
        <v>72.72</v>
      </c>
      <c r="F78" s="19">
        <v>72.72</v>
      </c>
      <c r="G78" s="1">
        <v>72.72</v>
      </c>
    </row>
    <row r="79">
      <c r="A79" s="67" t="s">
        <v>72</v>
      </c>
      <c r="B79" s="57">
        <v>60.0</v>
      </c>
      <c r="C79" s="57">
        <v>60.0</v>
      </c>
      <c r="D79" s="57">
        <v>60.0</v>
      </c>
      <c r="E79" s="19">
        <v>60.0</v>
      </c>
      <c r="F79" s="19">
        <v>60.0</v>
      </c>
      <c r="G79" s="1">
        <v>60.0</v>
      </c>
    </row>
    <row r="80">
      <c r="A80" s="67" t="s">
        <v>73</v>
      </c>
      <c r="B80" s="57">
        <v>75.0</v>
      </c>
      <c r="C80" s="57">
        <v>75.0</v>
      </c>
      <c r="D80" s="57">
        <v>75.0</v>
      </c>
      <c r="E80" s="19">
        <v>100.0</v>
      </c>
      <c r="F80" s="19">
        <v>100.0</v>
      </c>
      <c r="G80" s="1">
        <v>100.0</v>
      </c>
    </row>
    <row r="81">
      <c r="A81" s="67" t="s">
        <v>74</v>
      </c>
      <c r="B81" s="57">
        <v>85.71</v>
      </c>
      <c r="C81" s="57">
        <v>85.71</v>
      </c>
      <c r="D81" s="57">
        <v>85.71</v>
      </c>
      <c r="E81" s="19">
        <v>85.71</v>
      </c>
      <c r="F81" s="19">
        <v>85.71</v>
      </c>
      <c r="G81" s="1">
        <v>85.71</v>
      </c>
    </row>
    <row r="82">
      <c r="A82" s="34" t="s">
        <v>75</v>
      </c>
      <c r="B82" s="36">
        <f t="shared" ref="B82:G82" si="11">AVERAGE(B61:B81)</f>
        <v>77.65333333</v>
      </c>
      <c r="C82" s="36">
        <f t="shared" si="11"/>
        <v>80.6047619</v>
      </c>
      <c r="D82" s="35">
        <f t="shared" si="11"/>
        <v>83.28</v>
      </c>
      <c r="E82" s="36">
        <f t="shared" si="11"/>
        <v>72.2652381</v>
      </c>
      <c r="F82" s="36">
        <f t="shared" si="11"/>
        <v>73.36571429</v>
      </c>
      <c r="G82" s="36">
        <f t="shared" si="11"/>
        <v>75.47380952</v>
      </c>
    </row>
    <row r="83">
      <c r="A83" s="39" t="s">
        <v>77</v>
      </c>
      <c r="B83" s="36">
        <f t="shared" ref="B83:G83" si="12">AVERAGE(B61:B66,B74:B81)</f>
        <v>74.05142857</v>
      </c>
      <c r="C83" s="36">
        <f t="shared" si="12"/>
        <v>77.64714286</v>
      </c>
      <c r="D83" s="36">
        <f t="shared" si="12"/>
        <v>79.09428571</v>
      </c>
      <c r="E83" s="36">
        <f t="shared" si="12"/>
        <v>67.475</v>
      </c>
      <c r="F83" s="36">
        <f t="shared" si="12"/>
        <v>68.92214286</v>
      </c>
      <c r="G83" s="36">
        <f t="shared" si="12"/>
        <v>71.26571429</v>
      </c>
    </row>
    <row r="84">
      <c r="A84" s="39" t="s">
        <v>78</v>
      </c>
      <c r="B84" s="36">
        <f t="shared" ref="B84:G84" si="13">AVERAGE(B67:B74)</f>
        <v>84.1175</v>
      </c>
      <c r="C84" s="36">
        <f t="shared" si="13"/>
        <v>86.88875</v>
      </c>
      <c r="D84" s="36">
        <f t="shared" si="13"/>
        <v>92.03625</v>
      </c>
      <c r="E84" s="36">
        <f t="shared" si="13"/>
        <v>80.825</v>
      </c>
      <c r="F84" s="36">
        <f t="shared" si="13"/>
        <v>81.83875</v>
      </c>
      <c r="G84" s="36">
        <f t="shared" si="13"/>
        <v>83.93</v>
      </c>
    </row>
    <row r="85">
      <c r="A85" s="39" t="s">
        <v>79</v>
      </c>
      <c r="B85" s="36">
        <f t="shared" ref="B85:G85" si="14">AVERAGE(B61,B64:B69,B72:B73)</f>
        <v>84.31444444</v>
      </c>
      <c r="C85" s="36">
        <f t="shared" si="14"/>
        <v>87.39111111</v>
      </c>
      <c r="D85" s="36">
        <f t="shared" si="14"/>
        <v>91.02444444</v>
      </c>
      <c r="E85" s="36">
        <f t="shared" si="14"/>
        <v>75.58333333</v>
      </c>
      <c r="F85" s="36">
        <f t="shared" si="14"/>
        <v>75.58333333</v>
      </c>
      <c r="G85" s="36">
        <f t="shared" si="14"/>
        <v>77.40888889</v>
      </c>
    </row>
    <row r="86">
      <c r="A86" s="39" t="s">
        <v>80</v>
      </c>
      <c r="B86" s="36">
        <f t="shared" ref="B86:G86" si="15">AVERAGE(B62:B63,B70:B71,B74:B75)</f>
        <v>76.3</v>
      </c>
      <c r="C86" s="36">
        <f t="shared" si="15"/>
        <v>82.015</v>
      </c>
      <c r="D86" s="36">
        <f t="shared" si="15"/>
        <v>85.92833333</v>
      </c>
      <c r="E86" s="36">
        <f t="shared" si="15"/>
        <v>64.85666667</v>
      </c>
      <c r="F86" s="36">
        <f t="shared" si="15"/>
        <v>68.70833333</v>
      </c>
      <c r="G86" s="36">
        <f t="shared" si="15"/>
        <v>73.34833333</v>
      </c>
    </row>
    <row r="87">
      <c r="A87" s="29"/>
      <c r="B87" s="53" t="s">
        <v>101</v>
      </c>
    </row>
    <row r="88">
      <c r="A88" s="34" t="s">
        <v>75</v>
      </c>
      <c r="B88" s="7">
        <f t="shared" ref="B88:G88" si="16">AVERAGE(B26,B54,B82)</f>
        <v>77.03920635</v>
      </c>
      <c r="C88" s="7">
        <f t="shared" si="16"/>
        <v>78.23507937</v>
      </c>
      <c r="D88" s="7">
        <f t="shared" si="16"/>
        <v>79.28380952</v>
      </c>
      <c r="E88" s="7">
        <f t="shared" si="16"/>
        <v>74.27563492</v>
      </c>
      <c r="F88" s="7">
        <f t="shared" si="16"/>
        <v>74.65412698</v>
      </c>
      <c r="G88" s="7">
        <f t="shared" si="16"/>
        <v>75.18380952</v>
      </c>
    </row>
    <row r="89">
      <c r="A89" s="39" t="s">
        <v>77</v>
      </c>
      <c r="B89" s="7">
        <f t="shared" ref="B89:G89" si="17">AVERAGE(B27,B55,B83)</f>
        <v>75.91761905</v>
      </c>
      <c r="C89" s="7">
        <f t="shared" si="17"/>
        <v>77.5697619</v>
      </c>
      <c r="D89" s="7">
        <f t="shared" si="17"/>
        <v>78.28285714</v>
      </c>
      <c r="E89" s="7">
        <f t="shared" si="17"/>
        <v>73.24511905</v>
      </c>
      <c r="F89" s="7">
        <f t="shared" si="17"/>
        <v>73.31309524</v>
      </c>
      <c r="G89" s="7">
        <f t="shared" si="17"/>
        <v>73.97833333</v>
      </c>
    </row>
    <row r="90">
      <c r="A90" s="39" t="s">
        <v>78</v>
      </c>
      <c r="B90" s="7">
        <f t="shared" ref="B90:G90" si="18">AVERAGE(B28,B56,B84)</f>
        <v>78.84375</v>
      </c>
      <c r="C90" s="7">
        <f t="shared" si="18"/>
        <v>79.43</v>
      </c>
      <c r="D90" s="12">
        <f t="shared" si="18"/>
        <v>81.0925</v>
      </c>
      <c r="E90" s="7">
        <f t="shared" si="18"/>
        <v>76.25029762</v>
      </c>
      <c r="F90" s="7">
        <f t="shared" si="18"/>
        <v>77.00041667</v>
      </c>
      <c r="G90" s="7">
        <f t="shared" si="18"/>
        <v>77.4725</v>
      </c>
    </row>
    <row r="91">
      <c r="A91" s="39" t="s">
        <v>79</v>
      </c>
      <c r="B91" s="7">
        <f t="shared" ref="B91:G91" si="19">AVERAGE(B29,B57,B85)</f>
        <v>79.21296296</v>
      </c>
      <c r="C91" s="7">
        <f t="shared" si="19"/>
        <v>80.6</v>
      </c>
      <c r="D91" s="12">
        <f t="shared" si="19"/>
        <v>82.13962963</v>
      </c>
      <c r="E91" s="7">
        <f t="shared" si="19"/>
        <v>74.12898148</v>
      </c>
      <c r="F91" s="7">
        <f t="shared" si="19"/>
        <v>74.81925926</v>
      </c>
      <c r="G91" s="7">
        <f t="shared" si="19"/>
        <v>74.97259259</v>
      </c>
    </row>
    <row r="92">
      <c r="A92" s="39" t="s">
        <v>80</v>
      </c>
      <c r="B92" s="7">
        <f t="shared" ref="B92:G92" si="20">AVERAGE(B30,B58,B86)</f>
        <v>76.46611111</v>
      </c>
      <c r="C92" s="7">
        <f t="shared" si="20"/>
        <v>78.58333333</v>
      </c>
      <c r="D92" s="12">
        <f t="shared" si="20"/>
        <v>79.82055556</v>
      </c>
      <c r="E92" s="7">
        <f t="shared" si="20"/>
        <v>71.66444444</v>
      </c>
      <c r="F92" s="7">
        <f t="shared" si="20"/>
        <v>73.08833333</v>
      </c>
      <c r="G92" s="7">
        <f t="shared" si="20"/>
        <v>74.72722222</v>
      </c>
    </row>
  </sheetData>
  <mergeCells count="7">
    <mergeCell ref="A3:A4"/>
    <mergeCell ref="B3:G3"/>
    <mergeCell ref="A31:A32"/>
    <mergeCell ref="B31:G31"/>
    <mergeCell ref="A59:A60"/>
    <mergeCell ref="B59:G59"/>
    <mergeCell ref="B87:G87"/>
  </mergeCells>
  <drawing r:id="rId1"/>
</worksheet>
</file>